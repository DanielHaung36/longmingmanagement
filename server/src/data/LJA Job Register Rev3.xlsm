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ongimagnetaustraliaptyltd.sharepoint.com/sites/LongiAustralia/Shared Documents/03 Project Management/"/>
    </mc:Choice>
  </mc:AlternateContent>
  <xr:revisionPtr revIDLastSave="128" documentId="8_{A24043C0-E1A4-494B-962F-F3D3FE2CACF3}" xr6:coauthVersionLast="47" xr6:coauthVersionMax="47" xr10:uidLastSave="{94A46B80-A6CD-4236-8A6E-0B249485A645}"/>
  <bookViews>
    <workbookView xWindow="-57710" yWindow="-110" windowWidth="29020" windowHeight="15700" activeTab="2" xr2:uid="{6A62A453-9C2E-4200-AF6F-545D116B95C0}"/>
  </bookViews>
  <sheets>
    <sheet name="宏1" sheetId="12" r:id="rId1"/>
    <sheet name="宏2" sheetId="13" r:id="rId2"/>
    <sheet name="Job Data" sheetId="1" r:id="rId3"/>
    <sheet name="Weijun" sheetId="5" r:id="rId4"/>
    <sheet name="Hill" sheetId="6" r:id="rId5"/>
    <sheet name="Sammie" sheetId="8" r:id="rId6"/>
    <sheet name="Wubiao" sheetId="7" r:id="rId7"/>
    <sheet name="Lionel" sheetId="10" r:id="rId8"/>
    <sheet name="Luca" sheetId="11" r:id="rId9"/>
    <sheet name="Basic Info" sheetId="2" r:id="rId10"/>
  </sheets>
  <functionGroups builtInGroupCount="19"/>
  <definedNames>
    <definedName name="_xlnm._FilterDatabase" localSheetId="2" hidden="1">'Job Data'!$A$2:$O$248</definedName>
    <definedName name="_MWPA">'Basic Info'!$AF$3:$AF$9</definedName>
    <definedName name="Agile_Mining">'Basic Info'!$AV$3:$AV$15</definedName>
    <definedName name="Allup_Silica">'Basic Info'!$AY$3:$AY$14</definedName>
    <definedName name="ALS">'Basic Info'!$AH$3:$AH$13</definedName>
    <definedName name="Athenas_Reource">'Basic Info'!$R$3:$R$27</definedName>
    <definedName name="Aurora_Construction_Materials">'Basic Info'!$BF$3:$BF$7</definedName>
    <definedName name="AVL">'Basic Info'!$Q$3:$Q$27</definedName>
    <definedName name="Barto_Gold">'Basic Info'!$CH$3:$CH$9</definedName>
    <definedName name="BCI">'Basic Info'!$BY$3:$BY$17</definedName>
    <definedName name="Blackore">'Basic Info'!$AB$3:$AB$27</definedName>
    <definedName name="Bravus_Mining_Resuroces">'Basic Info'!$BB$3:$BB$11</definedName>
    <definedName name="BV">'Basic Info'!$AG$3:$AG$14</definedName>
    <definedName name="Capricorn_Metals">'Basic Info'!$BQ$3:$BQ$18</definedName>
    <definedName name="Chalice_Mining">'Basic Info'!$BT$3:$BT$7</definedName>
    <definedName name="Cockatoo_Island_Mining">'Basic Info'!$AR$3:$AR$13</definedName>
    <definedName name="ConsMin">'Basic Info'!$AE$3:$AE$17</definedName>
    <definedName name="Contact_Company">'Basic Info'!$C$33:$C$67</definedName>
    <definedName name="Covalent_Lithium">'Basic Info'!$X$3:$X$27</definedName>
    <definedName name="Crimson_Metals">'Basic Info'!$BU$3:$BU$19</definedName>
    <definedName name="Critica_Limited">'Basic Info'!$CB$3:$CB$8</definedName>
    <definedName name="CXL">'Basic Info'!$AQ$3:$AQ$8</definedName>
    <definedName name="Delta_Lithium">'Basic Info'!$BD$3:$BD$21</definedName>
    <definedName name="Dome_Gold">'Basic Info'!$BJ$3:$BJ$10</definedName>
    <definedName name="Empire_Metals">'Basic Info'!$AO$3:$AO$7</definedName>
    <definedName name="FMG">'Basic Info'!$D$3:$D$27</definedName>
    <definedName name="GL1_">'Basic Info'!$P$3:$P$22</definedName>
    <definedName name="Glencore">'Basic Info'!$AZ$3:$AZ$25</definedName>
    <definedName name="Globel_Lithium">'Basic Info'!$P$3:$P$27</definedName>
    <definedName name="GM_3">'Basic Info'!$CA$3:$CA$9</definedName>
    <definedName name="Grange">'Basic Info'!$J$3:$J$27</definedName>
    <definedName name="Grange_Resources">'Basic Info'!$J$3:$J$31</definedName>
    <definedName name="Green_Capital">'Basic Info'!$BW$3</definedName>
    <definedName name="Group6Metals">'Basic Info'!$K$3:$K$20</definedName>
    <definedName name="HanRoy">'Basic Info'!$C$3:$C$27</definedName>
    <definedName name="HASTING">'Basic Info'!$BL$3:$BL$16</definedName>
    <definedName name="Havilah_Resources">'Basic Info'!$BI$3:$BI$9</definedName>
    <definedName name="Hawsons_Iron">'Basic Info'!$BM$3:$BM$8</definedName>
    <definedName name="Huntore_Australia">'Basic Info'!$BC$3:$BC$21</definedName>
    <definedName name="HY_Mineral">'Basic Info'!$BP$3:$BP$16</definedName>
    <definedName name="Iondrive">'Basic Info'!$BK$3:$BK$5</definedName>
    <definedName name="Karara_Mining">'Basic Info'!$W$3:$W$27</definedName>
    <definedName name="Karawara_Minerals">'Basic Info'!$AS$3:$AS$14</definedName>
    <definedName name="Khalzan_Buregtei">'Basic Info'!$V$3:$V$27</definedName>
    <definedName name="KUREEM">'Basic Info'!$M$3:$M$27</definedName>
    <definedName name="Ladestone">'Basic Info'!$L$3:$L$27</definedName>
    <definedName name="Leo_Lithium">'Basic Info'!$Z$3:$Z$27</definedName>
    <definedName name="Lincoln_Minerals">'Basic Info'!$AK$3:$AK$15</definedName>
    <definedName name="Lindian_Resources">'Basic Info'!$AC$3</definedName>
    <definedName name="Lion_Town">'Basic Info'!$Y$3:$Y$27</definedName>
    <definedName name="LMA">'Basic Info'!$AW$3:$AW$20</definedName>
    <definedName name="Loesche">'Basic Info'!$AN$3:$AN$15</definedName>
    <definedName name="losche">'Basic Info'!$S$3:$S$12</definedName>
    <definedName name="Magnetite_Mines">'Basic Info'!$AD$3:$AD$14</definedName>
    <definedName name="Mayur">'Basic Info'!$AU$3:$AU$13</definedName>
    <definedName name="Mindax">'Basic Info'!$CF$3:$CF$11</definedName>
    <definedName name="MRL">'Basic Info'!$F$3:$F$27</definedName>
    <definedName name="Mt_Oscar_Gold_Project">'Basic Info'!$CF$4</definedName>
    <definedName name="Mt_Oscar_Iron_Ore_Project">'Basic Info'!$CF$3</definedName>
    <definedName name="Nagrom">'Basic Info'!$AI$3:$AI$6</definedName>
    <definedName name="Northern_Iron">'Basic Info'!$BS$3:$BS$15</definedName>
    <definedName name="Northern_Mineral">'Basic Info'!$BE$3:$BE$12</definedName>
    <definedName name="Norton">'Basic Info'!$AP$3:$AP$10</definedName>
    <definedName name="Oscar_Resources">'Basic Info'!$CE$3:$CE$11</definedName>
    <definedName name="PEABODY_ENERGY">'Basic Info'!$AJ$3:$AJ$12</definedName>
    <definedName name="Peak_Iron">'Basic Info'!$U$3:$U$27</definedName>
    <definedName name="Peak_Rare_Earth">'Basic Info'!$G$3:$G$31</definedName>
    <definedName name="PeakRE">'Basic Info'!$G$3:$G$27</definedName>
    <definedName name="PLS">'Basic Info'!$AM$3:$AM$19</definedName>
    <definedName name="Pretreatment_Facility">'Basic Info'!$BL$3</definedName>
    <definedName name="_xlnm.Print_Area" localSheetId="2">'Job Data'!$A$1:$P$250</definedName>
    <definedName name="Pure_Resources">'Basic Info'!$CC$3:$CC$5</definedName>
    <definedName name="Ridge">'Basic Info'!$CD$3:$CD$7</definedName>
    <definedName name="Riotinto">'Basic Info'!$H$3:$H$27</definedName>
    <definedName name="Rox_Resources">'Basic Info'!$AA$3:$AA$18</definedName>
    <definedName name="Roy_Hill">'Basic Info'!$AT$3:$AT$17</definedName>
    <definedName name="Savannah_Resources">'Basic Info'!$AE$3:$AE$27</definedName>
    <definedName name="Sibanye_Stillwater">'Basic Info'!$BZ$3:$BZ$16</definedName>
    <definedName name="Silica_Resources_Australia">'Basic Info'!$BA$3:$BA$21</definedName>
    <definedName name="SIMEC">'Basic Info'!$E$3:$E$27</definedName>
    <definedName name="Talison">'Basic Info'!$I$3:$I$27</definedName>
    <definedName name="Tanbreez_Mining">'Basic Info'!$BV$3</definedName>
    <definedName name="TBA">'Basic Info'!$T$3:$T$27</definedName>
    <definedName name="Technology_Metals_TMT">'Basic Info'!$O$3:$O$30</definedName>
    <definedName name="Terra_Metals">'Basic Info'!$CG$3:$CG$7</definedName>
    <definedName name="Terra_mining">'Basic Info'!$BN$3:$BN$7</definedName>
    <definedName name="The_Australian_Vanadium_AVL">'Basic Info'!$Q$3:$Q$30</definedName>
    <definedName name="TMT">'Basic Info'!$O$3:$O$27</definedName>
    <definedName name="Trenel">'Basic Info'!$AL$3:$AL$5</definedName>
    <definedName name="Tungsten_Mining">'Basic Info'!$BH$3:$BH$13</definedName>
    <definedName name="Venus_Metals">'Basic Info'!$AX$3:$AX$15</definedName>
    <definedName name="Vytas">'Basic Info'!$BO$3:$BO$28</definedName>
    <definedName name="Wyoming_Rare_USA">'Basic Info'!$BX$3:$BX$8</definedName>
    <definedName name="YINGHUI_INTERNATIONAL">'Basic Info'!$BR$3:$BR$16</definedName>
    <definedName name="Young_Steel">'Basic Info'!$N$3:$N$27</definedName>
  </definedNames>
  <calcPr calcId="191028"/>
  <pivotCaches>
    <pivotCache cacheId="2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7" i="1" l="1"/>
  <c r="N227" i="1" s="1"/>
  <c r="A226" i="1"/>
  <c r="N226" i="1" s="1"/>
  <c r="A228" i="1"/>
  <c r="N228" i="1" s="1"/>
  <c r="A229" i="1"/>
  <c r="N229" i="1" s="1"/>
  <c r="A230" i="1"/>
  <c r="N230" i="1" s="1"/>
  <c r="A231" i="1"/>
  <c r="N231" i="1" s="1"/>
  <c r="A232" i="1"/>
  <c r="N232" i="1" s="1"/>
  <c r="A233" i="1"/>
  <c r="N233" i="1" s="1"/>
  <c r="A234" i="1"/>
  <c r="N234" i="1" s="1"/>
  <c r="A235" i="1"/>
  <c r="N235" i="1" s="1"/>
  <c r="A236" i="1"/>
  <c r="N236" i="1" s="1"/>
  <c r="A237" i="1"/>
  <c r="N237" i="1" s="1"/>
  <c r="A238" i="1"/>
  <c r="N238" i="1" s="1"/>
  <c r="A239" i="1"/>
  <c r="N239" i="1" s="1"/>
  <c r="A240" i="1"/>
  <c r="N240" i="1" s="1"/>
  <c r="A241" i="1"/>
  <c r="N241" i="1" s="1"/>
  <c r="A242" i="1"/>
  <c r="N242" i="1" s="1"/>
  <c r="A243" i="1"/>
  <c r="N243" i="1" s="1"/>
  <c r="A244" i="1"/>
  <c r="N244" i="1" s="1"/>
  <c r="A245" i="1"/>
  <c r="N245" i="1" s="1"/>
  <c r="A246" i="1"/>
  <c r="N246" i="1" s="1"/>
  <c r="A247" i="1"/>
  <c r="N247" i="1" s="1"/>
  <c r="A248" i="1"/>
  <c r="N248" i="1" s="1"/>
  <c r="A219" i="1"/>
  <c r="N219" i="1" s="1"/>
  <c r="A220" i="1"/>
  <c r="N220" i="1" s="1"/>
  <c r="A221" i="1"/>
  <c r="N221" i="1" s="1"/>
  <c r="A222" i="1"/>
  <c r="N222" i="1" s="1"/>
  <c r="A223" i="1"/>
  <c r="N223" i="1" s="1"/>
  <c r="A224" i="1"/>
  <c r="N224" i="1" s="1"/>
  <c r="A225" i="1"/>
  <c r="N225" i="1" s="1"/>
  <c r="A212" i="1"/>
  <c r="N212" i="1" s="1"/>
  <c r="A179" i="1"/>
  <c r="N179" i="1" s="1"/>
  <c r="A180" i="1"/>
  <c r="N180" i="1" s="1"/>
  <c r="G129" i="5"/>
  <c r="G125" i="5"/>
  <c r="G126" i="5"/>
  <c r="G127" i="5"/>
  <c r="G128" i="5"/>
  <c r="A112" i="1"/>
  <c r="N112" i="1" s="1"/>
  <c r="A218" i="1"/>
  <c r="N218" i="1" s="1"/>
  <c r="A217" i="1"/>
  <c r="N217" i="1" s="1"/>
  <c r="A216" i="1"/>
  <c r="N216" i="1" s="1"/>
  <c r="A215" i="1"/>
  <c r="N215" i="1" s="1"/>
  <c r="A214" i="1"/>
  <c r="N214" i="1" s="1"/>
  <c r="A213" i="1"/>
  <c r="N213" i="1" s="1"/>
  <c r="A211" i="1"/>
  <c r="N211" i="1" s="1"/>
  <c r="A210" i="1"/>
  <c r="N210" i="1" s="1"/>
  <c r="A209" i="1"/>
  <c r="N209" i="1" s="1"/>
  <c r="A208" i="1"/>
  <c r="N208" i="1" s="1"/>
  <c r="A207" i="1"/>
  <c r="N207" i="1" s="1"/>
  <c r="A206" i="1"/>
  <c r="N206" i="1" s="1"/>
  <c r="A205" i="1"/>
  <c r="N205" i="1" s="1"/>
  <c r="A204" i="1"/>
  <c r="N204" i="1" s="1"/>
  <c r="A203" i="1"/>
  <c r="N203" i="1" s="1"/>
  <c r="A202" i="1"/>
  <c r="N202" i="1" s="1"/>
  <c r="A201" i="1"/>
  <c r="N201" i="1" s="1"/>
  <c r="A200" i="1"/>
  <c r="N200" i="1" s="1"/>
  <c r="A199" i="1"/>
  <c r="N199" i="1" s="1"/>
  <c r="A198" i="1"/>
  <c r="N198" i="1" s="1"/>
  <c r="A197" i="1"/>
  <c r="N197" i="1" s="1"/>
  <c r="A196" i="1"/>
  <c r="N196" i="1" s="1"/>
  <c r="A195" i="1"/>
  <c r="N195" i="1" s="1"/>
  <c r="A194" i="1"/>
  <c r="N194" i="1" s="1"/>
  <c r="A193" i="1"/>
  <c r="N193" i="1" s="1"/>
  <c r="A192" i="1"/>
  <c r="N192" i="1" s="1"/>
  <c r="A191" i="1"/>
  <c r="N191" i="1" s="1"/>
  <c r="A190" i="1"/>
  <c r="N190" i="1" s="1"/>
  <c r="A189" i="1"/>
  <c r="N189" i="1" s="1"/>
  <c r="A188" i="1"/>
  <c r="N188" i="1" s="1"/>
  <c r="A187" i="1"/>
  <c r="N187" i="1" s="1"/>
  <c r="A186" i="1"/>
  <c r="N186" i="1" s="1"/>
  <c r="A185" i="1"/>
  <c r="A184" i="1"/>
  <c r="N184" i="1" s="1"/>
  <c r="A183" i="1"/>
  <c r="N183" i="1" s="1"/>
  <c r="A182" i="1"/>
  <c r="N182" i="1" s="1"/>
  <c r="A181" i="1"/>
  <c r="N181" i="1" s="1"/>
  <c r="A178" i="1"/>
  <c r="N178" i="1" s="1"/>
  <c r="A177" i="1"/>
  <c r="N177" i="1" s="1"/>
  <c r="A176" i="1"/>
  <c r="N176" i="1" s="1"/>
  <c r="A175" i="1"/>
  <c r="N175" i="1" s="1"/>
  <c r="A174" i="1"/>
  <c r="N174" i="1" s="1"/>
  <c r="A173" i="1"/>
  <c r="N173" i="1" s="1"/>
  <c r="A172" i="1"/>
  <c r="N172" i="1" s="1"/>
  <c r="A171" i="1"/>
  <c r="N171" i="1" s="1"/>
  <c r="A170" i="1"/>
  <c r="N170" i="1" s="1"/>
  <c r="A169" i="1"/>
  <c r="N169" i="1" s="1"/>
  <c r="A168" i="1"/>
  <c r="N168" i="1" s="1"/>
  <c r="A167" i="1"/>
  <c r="N167" i="1" s="1"/>
  <c r="A166" i="1"/>
  <c r="N166" i="1" s="1"/>
  <c r="A165" i="1"/>
  <c r="N165" i="1" s="1"/>
  <c r="A164" i="1"/>
  <c r="N164" i="1" s="1"/>
  <c r="A163" i="1"/>
  <c r="N163" i="1" s="1"/>
  <c r="A162" i="1"/>
  <c r="N162" i="1" s="1"/>
  <c r="A161" i="1"/>
  <c r="N161" i="1" s="1"/>
  <c r="A160" i="1"/>
  <c r="N160" i="1" s="1"/>
  <c r="A159" i="1"/>
  <c r="N159" i="1" s="1"/>
  <c r="A158" i="1"/>
  <c r="N158" i="1" s="1"/>
  <c r="A157" i="1"/>
  <c r="N157" i="1" s="1"/>
  <c r="A156" i="1"/>
  <c r="N156" i="1" s="1"/>
  <c r="A155" i="1"/>
  <c r="N155" i="1" s="1"/>
  <c r="A154" i="1"/>
  <c r="N154" i="1" s="1"/>
  <c r="A153" i="1"/>
  <c r="N153" i="1" s="1"/>
  <c r="A152" i="1"/>
  <c r="N152" i="1" s="1"/>
  <c r="A151" i="1"/>
  <c r="N151" i="1" s="1"/>
  <c r="A150" i="1"/>
  <c r="N150" i="1" s="1"/>
  <c r="A149" i="1"/>
  <c r="N149" i="1" s="1"/>
  <c r="A148" i="1"/>
  <c r="N148" i="1" s="1"/>
  <c r="A147" i="1"/>
  <c r="N147" i="1" s="1"/>
  <c r="A146" i="1"/>
  <c r="N146" i="1" s="1"/>
  <c r="A145" i="1"/>
  <c r="N145" i="1" s="1"/>
  <c r="A144" i="1"/>
  <c r="N144" i="1" s="1"/>
  <c r="A143" i="1"/>
  <c r="N143" i="1" s="1"/>
  <c r="A142" i="1"/>
  <c r="N142" i="1" s="1"/>
  <c r="A141" i="1"/>
  <c r="N141" i="1" s="1"/>
  <c r="A140" i="1"/>
  <c r="N140" i="1" s="1"/>
  <c r="A139" i="1"/>
  <c r="N139" i="1" s="1"/>
  <c r="A138" i="1"/>
  <c r="N138" i="1" s="1"/>
  <c r="A137" i="1"/>
  <c r="N137" i="1" s="1"/>
  <c r="A136" i="1"/>
  <c r="N136" i="1" s="1"/>
  <c r="A135" i="1"/>
  <c r="N135" i="1" s="1"/>
  <c r="A134" i="1"/>
  <c r="N134" i="1" s="1"/>
  <c r="A133" i="1"/>
  <c r="N133" i="1" s="1"/>
  <c r="A132" i="1"/>
  <c r="N132" i="1" s="1"/>
  <c r="A131" i="1"/>
  <c r="N131" i="1" s="1"/>
  <c r="A130" i="1"/>
  <c r="N130" i="1" s="1"/>
  <c r="A129" i="1"/>
  <c r="N129" i="1" s="1"/>
  <c r="A128" i="1"/>
  <c r="N128" i="1" s="1"/>
  <c r="A127" i="1"/>
  <c r="N127" i="1" s="1"/>
  <c r="A126" i="1"/>
  <c r="N126" i="1" s="1"/>
  <c r="A125" i="1"/>
  <c r="N125" i="1" s="1"/>
  <c r="A124" i="1"/>
  <c r="N124" i="1" s="1"/>
  <c r="A123" i="1"/>
  <c r="N123" i="1" s="1"/>
  <c r="A122" i="1"/>
  <c r="N122" i="1" s="1"/>
  <c r="A121" i="1"/>
  <c r="N121" i="1" s="1"/>
  <c r="A120" i="1"/>
  <c r="N120" i="1" s="1"/>
  <c r="A119" i="1"/>
  <c r="N119" i="1" s="1"/>
  <c r="A118" i="1"/>
  <c r="N118" i="1" s="1"/>
  <c r="A117" i="1"/>
  <c r="N117" i="1" s="1"/>
  <c r="A116" i="1"/>
  <c r="N116" i="1" s="1"/>
  <c r="A115" i="1"/>
  <c r="N115" i="1" s="1"/>
  <c r="A114" i="1"/>
  <c r="N114" i="1" s="1"/>
  <c r="A113" i="1"/>
  <c r="N113" i="1" s="1"/>
  <c r="A111" i="1"/>
  <c r="N111" i="1" s="1"/>
  <c r="A110" i="1"/>
  <c r="N110" i="1" s="1"/>
  <c r="A109" i="1"/>
  <c r="N109" i="1" s="1"/>
  <c r="A108" i="1"/>
  <c r="N108" i="1" s="1"/>
  <c r="A107" i="1"/>
  <c r="N107" i="1" s="1"/>
  <c r="A106" i="1"/>
  <c r="N106" i="1" s="1"/>
  <c r="A105" i="1"/>
  <c r="N105" i="1" s="1"/>
  <c r="A104" i="1"/>
  <c r="N104" i="1" s="1"/>
  <c r="A103" i="1"/>
  <c r="N103" i="1" s="1"/>
  <c r="A102" i="1"/>
  <c r="N102" i="1" s="1"/>
  <c r="A101" i="1"/>
  <c r="N101" i="1" s="1"/>
  <c r="A100" i="1"/>
  <c r="N100" i="1" s="1"/>
  <c r="A99" i="1"/>
  <c r="N99" i="1" s="1"/>
  <c r="A98" i="1"/>
  <c r="N98" i="1" s="1"/>
  <c r="A97" i="1"/>
  <c r="N97" i="1" s="1"/>
  <c r="A96" i="1"/>
  <c r="N96" i="1" s="1"/>
  <c r="A95" i="1"/>
  <c r="N95" i="1" s="1"/>
  <c r="A94" i="1"/>
  <c r="N94" i="1" s="1"/>
  <c r="A93" i="1"/>
  <c r="N93" i="1" s="1"/>
  <c r="A92" i="1"/>
  <c r="N92" i="1" s="1"/>
  <c r="A91" i="1"/>
  <c r="N91" i="1" s="1"/>
  <c r="A90" i="1"/>
  <c r="N90" i="1" s="1"/>
  <c r="A89" i="1"/>
  <c r="N89" i="1" s="1"/>
  <c r="A88" i="1"/>
  <c r="N88" i="1" s="1"/>
  <c r="A87" i="1"/>
  <c r="N87" i="1" s="1"/>
  <c r="A86" i="1"/>
  <c r="N86" i="1" s="1"/>
  <c r="A85" i="1"/>
  <c r="N85" i="1" s="1"/>
  <c r="A84" i="1"/>
  <c r="N84" i="1" s="1"/>
  <c r="A83" i="1"/>
  <c r="N83" i="1" s="1"/>
  <c r="A82" i="1"/>
  <c r="N82" i="1" s="1"/>
  <c r="A81" i="1"/>
  <c r="N81" i="1" s="1"/>
  <c r="A80" i="1"/>
  <c r="N80" i="1" s="1"/>
  <c r="A79" i="1"/>
  <c r="N79" i="1" s="1"/>
  <c r="A78" i="1"/>
  <c r="N78" i="1" s="1"/>
  <c r="A77" i="1"/>
  <c r="N77" i="1" s="1"/>
  <c r="A76" i="1"/>
  <c r="N76" i="1" s="1"/>
  <c r="A75" i="1"/>
  <c r="N75" i="1" s="1"/>
  <c r="A74" i="1"/>
  <c r="N74" i="1" s="1"/>
  <c r="A73" i="1"/>
  <c r="N73" i="1" s="1"/>
  <c r="A72" i="1"/>
  <c r="N72" i="1" s="1"/>
  <c r="A71" i="1"/>
  <c r="N71" i="1" s="1"/>
  <c r="A70" i="1"/>
  <c r="N70" i="1" s="1"/>
  <c r="A69" i="1"/>
  <c r="N69" i="1" s="1"/>
  <c r="A68" i="1"/>
  <c r="N68" i="1" s="1"/>
  <c r="A67" i="1"/>
  <c r="N67" i="1" s="1"/>
  <c r="A66" i="1"/>
  <c r="N66" i="1" s="1"/>
  <c r="A65" i="1"/>
  <c r="A64" i="1"/>
  <c r="A63" i="1"/>
  <c r="N63" i="1" s="1"/>
  <c r="A62" i="1"/>
  <c r="N62" i="1" s="1"/>
  <c r="A61" i="1"/>
  <c r="N61" i="1" s="1"/>
  <c r="A60" i="1"/>
  <c r="N60" i="1" s="1"/>
  <c r="A59" i="1"/>
  <c r="N59" i="1" s="1"/>
  <c r="A58" i="1"/>
  <c r="N58" i="1" s="1"/>
  <c r="A57" i="1"/>
  <c r="N57" i="1" s="1"/>
  <c r="A56" i="1"/>
  <c r="N56" i="1" s="1"/>
  <c r="A55" i="1"/>
  <c r="N55" i="1" s="1"/>
  <c r="A54" i="1"/>
  <c r="N53" i="1"/>
  <c r="A52" i="1"/>
  <c r="A51" i="1"/>
  <c r="A50" i="1"/>
  <c r="N50" i="1" s="1"/>
  <c r="A49" i="1"/>
  <c r="N49" i="1" s="1"/>
  <c r="A48" i="1"/>
  <c r="N48" i="1" s="1"/>
  <c r="A47" i="1"/>
  <c r="A46" i="1"/>
  <c r="N46" i="1" s="1"/>
  <c r="A45" i="1"/>
  <c r="N45" i="1" s="1"/>
  <c r="A44" i="1"/>
  <c r="N44" i="1" s="1"/>
  <c r="A43" i="1"/>
  <c r="N43" i="1" s="1"/>
  <c r="A42" i="1"/>
  <c r="N42" i="1" s="1"/>
  <c r="A41" i="1"/>
  <c r="N41" i="1" s="1"/>
  <c r="A40" i="1"/>
  <c r="N40" i="1" s="1"/>
  <c r="A39" i="1"/>
  <c r="N39" i="1" s="1"/>
  <c r="A38" i="1"/>
  <c r="N38" i="1" s="1"/>
  <c r="A37" i="1"/>
  <c r="N37" i="1" s="1"/>
  <c r="A36" i="1"/>
  <c r="N36" i="1" s="1"/>
  <c r="A35" i="1"/>
  <c r="N35" i="1" s="1"/>
  <c r="A34" i="1"/>
  <c r="N34" i="1" s="1"/>
  <c r="A33" i="1"/>
  <c r="N33" i="1" s="1"/>
  <c r="A32" i="1"/>
  <c r="N32" i="1" s="1"/>
  <c r="A31" i="1"/>
  <c r="N31" i="1" s="1"/>
  <c r="A30" i="1"/>
  <c r="N30" i="1" s="1"/>
  <c r="A29" i="1"/>
  <c r="N29" i="1" s="1"/>
  <c r="A28" i="1"/>
  <c r="N28" i="1" s="1"/>
  <c r="A27" i="1"/>
  <c r="N27" i="1" s="1"/>
  <c r="A26" i="1"/>
  <c r="N26" i="1" s="1"/>
  <c r="A25" i="1"/>
  <c r="N25" i="1" s="1"/>
  <c r="A24" i="1"/>
  <c r="N24" i="1" s="1"/>
  <c r="A23" i="1"/>
  <c r="N23" i="1" s="1"/>
  <c r="A22" i="1"/>
  <c r="N22" i="1" s="1"/>
  <c r="A21" i="1"/>
  <c r="N21" i="1" s="1"/>
  <c r="A20" i="1"/>
  <c r="N20" i="1" s="1"/>
  <c r="A19" i="1"/>
  <c r="N19" i="1" s="1"/>
  <c r="A18" i="1"/>
  <c r="N18" i="1" s="1"/>
  <c r="A17" i="1"/>
  <c r="N17" i="1" s="1"/>
  <c r="A16" i="1"/>
  <c r="N16" i="1" s="1"/>
  <c r="A15" i="1"/>
  <c r="N15" i="1" s="1"/>
  <c r="A14" i="1"/>
  <c r="N14" i="1" s="1"/>
  <c r="A13" i="1"/>
  <c r="N13" i="1" s="1"/>
  <c r="A12" i="1"/>
  <c r="N12" i="1" s="1"/>
  <c r="A11" i="1"/>
  <c r="N11" i="1" s="1"/>
  <c r="A10" i="1"/>
  <c r="N10" i="1" s="1"/>
  <c r="A9" i="1"/>
  <c r="N9" i="1" s="1"/>
  <c r="A8" i="1"/>
  <c r="N8" i="1" s="1"/>
  <c r="A7" i="1"/>
  <c r="N7" i="1" s="1"/>
  <c r="A6" i="1"/>
  <c r="N6" i="1" s="1"/>
  <c r="A5" i="1"/>
  <c r="N5" i="1" s="1"/>
  <c r="A4" i="1"/>
  <c r="N4" i="1" s="1"/>
  <c r="A3" i="1"/>
  <c r="E124" i="11" l="1"/>
  <c r="E8" i="11"/>
  <c r="E10" i="11"/>
  <c r="E14" i="11"/>
  <c r="E16" i="11"/>
  <c r="E18" i="11"/>
  <c r="F20" i="11"/>
  <c r="G20" i="11" s="1"/>
  <c r="F22" i="11"/>
  <c r="G22" i="11" s="1"/>
  <c r="F24" i="11"/>
  <c r="G24" i="11" s="1"/>
  <c r="F26" i="11"/>
  <c r="G26" i="11" s="1"/>
  <c r="F28" i="11"/>
  <c r="G28" i="11" s="1"/>
  <c r="F30" i="11"/>
  <c r="G30" i="11" s="1"/>
  <c r="F32" i="11"/>
  <c r="G32" i="11" s="1"/>
  <c r="F34" i="11"/>
  <c r="G34" i="11" s="1"/>
  <c r="F36" i="11"/>
  <c r="G36" i="11" s="1"/>
  <c r="F38" i="11"/>
  <c r="G38" i="11" s="1"/>
  <c r="F40" i="11"/>
  <c r="G40" i="11" s="1"/>
  <c r="F42" i="11"/>
  <c r="G42" i="11" s="1"/>
  <c r="F44" i="11"/>
  <c r="G44" i="11" s="1"/>
  <c r="F46" i="11"/>
  <c r="G46" i="11" s="1"/>
  <c r="F48" i="11"/>
  <c r="G48" i="11" s="1"/>
  <c r="F50" i="11"/>
  <c r="G50" i="11" s="1"/>
  <c r="F52" i="11"/>
  <c r="G52" i="11" s="1"/>
  <c r="F54" i="11"/>
  <c r="G54" i="11" s="1"/>
  <c r="F56" i="11"/>
  <c r="G56" i="11" s="1"/>
  <c r="F58" i="11"/>
  <c r="G58" i="11" s="1"/>
  <c r="F60" i="11"/>
  <c r="G60" i="11" s="1"/>
  <c r="F62" i="11"/>
  <c r="G62" i="11" s="1"/>
  <c r="F64" i="11"/>
  <c r="G64" i="11" s="1"/>
  <c r="F66" i="11"/>
  <c r="G66" i="11" s="1"/>
  <c r="F68" i="11"/>
  <c r="G68" i="11" s="1"/>
  <c r="F70" i="11"/>
  <c r="G70" i="11" s="1"/>
  <c r="F72" i="11"/>
  <c r="G72" i="11" s="1"/>
  <c r="F74" i="11"/>
  <c r="G74" i="11" s="1"/>
  <c r="F76" i="11"/>
  <c r="G76" i="11" s="1"/>
  <c r="F78" i="11"/>
  <c r="G78" i="11" s="1"/>
  <c r="F80" i="11"/>
  <c r="G80" i="11" s="1"/>
  <c r="F82" i="11"/>
  <c r="G82" i="11" s="1"/>
  <c r="F84" i="11"/>
  <c r="G84" i="11" s="1"/>
  <c r="F86" i="11"/>
  <c r="G86" i="11" s="1"/>
  <c r="F88" i="11"/>
  <c r="G88" i="11" s="1"/>
  <c r="F90" i="11"/>
  <c r="G90" i="11" s="1"/>
  <c r="F92" i="11"/>
  <c r="G92" i="11" s="1"/>
  <c r="F94" i="11"/>
  <c r="G94" i="11" s="1"/>
  <c r="F96" i="11"/>
  <c r="G96" i="11" s="1"/>
  <c r="F98" i="11"/>
  <c r="G98" i="11" s="1"/>
  <c r="F100" i="11"/>
  <c r="G100" i="11" s="1"/>
  <c r="F102" i="11"/>
  <c r="G102" i="11" s="1"/>
  <c r="F104" i="11"/>
  <c r="G104" i="11" s="1"/>
  <c r="F106" i="11"/>
  <c r="G106" i="11" s="1"/>
  <c r="F108" i="11"/>
  <c r="G108" i="11" s="1"/>
  <c r="F110" i="11"/>
  <c r="G110" i="11" s="1"/>
  <c r="F112" i="11"/>
  <c r="G112" i="11" s="1"/>
  <c r="F114" i="11"/>
  <c r="G114" i="11" s="1"/>
  <c r="F116" i="11"/>
  <c r="G116" i="11" s="1"/>
  <c r="F118" i="11"/>
  <c r="G118" i="11" s="1"/>
  <c r="F120" i="11"/>
  <c r="G120" i="11" s="1"/>
  <c r="F122" i="11"/>
  <c r="G122" i="11" s="1"/>
  <c r="F124" i="11"/>
  <c r="G124" i="11" s="1"/>
  <c r="F8" i="11"/>
  <c r="G8" i="11" s="1"/>
  <c r="F10" i="11"/>
  <c r="G10" i="11" s="1"/>
  <c r="F12" i="11"/>
  <c r="G12" i="11" s="1"/>
  <c r="F14" i="11"/>
  <c r="G14" i="11" s="1"/>
  <c r="F16" i="11"/>
  <c r="G16" i="11" s="1"/>
  <c r="F18" i="11"/>
  <c r="G18" i="11" s="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C103" i="11"/>
  <c r="C105" i="11"/>
  <c r="C107" i="11"/>
  <c r="C109" i="11"/>
  <c r="C111" i="11"/>
  <c r="C113" i="11"/>
  <c r="C115" i="11"/>
  <c r="C117" i="11"/>
  <c r="C119" i="11"/>
  <c r="C121" i="11"/>
  <c r="C123" i="11"/>
  <c r="C19" i="11"/>
  <c r="C7" i="11"/>
  <c r="C9" i="11"/>
  <c r="C11" i="11"/>
  <c r="C13" i="11"/>
  <c r="C15" i="11"/>
  <c r="C17" i="11"/>
  <c r="D19" i="11"/>
  <c r="D21" i="11"/>
  <c r="D23" i="11"/>
  <c r="D25" i="11"/>
  <c r="D27" i="11"/>
  <c r="D29" i="11"/>
  <c r="D31" i="11"/>
  <c r="D33" i="11"/>
  <c r="D35" i="11"/>
  <c r="D37" i="11"/>
  <c r="D39" i="11"/>
  <c r="D41" i="11"/>
  <c r="D43" i="11"/>
  <c r="D45" i="11"/>
  <c r="D47" i="11"/>
  <c r="D49" i="11"/>
  <c r="D51" i="11"/>
  <c r="D53" i="11"/>
  <c r="D55" i="11"/>
  <c r="D57" i="11"/>
  <c r="D59" i="11"/>
  <c r="D61" i="11"/>
  <c r="D63" i="11"/>
  <c r="D65" i="11"/>
  <c r="D67" i="11"/>
  <c r="D69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7" i="11"/>
  <c r="D99" i="11"/>
  <c r="D101" i="11"/>
  <c r="D103" i="11"/>
  <c r="D105" i="11"/>
  <c r="D107" i="11"/>
  <c r="D109" i="11"/>
  <c r="D111" i="11"/>
  <c r="D113" i="11"/>
  <c r="D115" i="11"/>
  <c r="D117" i="11"/>
  <c r="D119" i="11"/>
  <c r="D121" i="11"/>
  <c r="D123" i="11"/>
  <c r="D7" i="11"/>
  <c r="D9" i="11"/>
  <c r="D11" i="11"/>
  <c r="D13" i="11"/>
  <c r="D15" i="11"/>
  <c r="D17" i="11"/>
  <c r="E19" i="11"/>
  <c r="E21" i="11"/>
  <c r="E23" i="11"/>
  <c r="E25" i="11"/>
  <c r="E27" i="11"/>
  <c r="E29" i="11"/>
  <c r="E31" i="11"/>
  <c r="E33" i="11"/>
  <c r="E35" i="11"/>
  <c r="E37" i="11"/>
  <c r="E39" i="11"/>
  <c r="E41" i="11"/>
  <c r="E43" i="11"/>
  <c r="E45" i="11"/>
  <c r="E47" i="11"/>
  <c r="E49" i="11"/>
  <c r="E51" i="11"/>
  <c r="E53" i="11"/>
  <c r="E55" i="11"/>
  <c r="E57" i="11"/>
  <c r="E59" i="11"/>
  <c r="E61" i="11"/>
  <c r="E63" i="11"/>
  <c r="E65" i="11"/>
  <c r="E67" i="11"/>
  <c r="E69" i="11"/>
  <c r="E71" i="11"/>
  <c r="E73" i="11"/>
  <c r="E75" i="11"/>
  <c r="E77" i="11"/>
  <c r="E79" i="11"/>
  <c r="E81" i="11"/>
  <c r="E83" i="11"/>
  <c r="E85" i="11"/>
  <c r="E87" i="11"/>
  <c r="E89" i="11"/>
  <c r="E91" i="11"/>
  <c r="E93" i="11"/>
  <c r="E95" i="11"/>
  <c r="E97" i="11"/>
  <c r="E99" i="11"/>
  <c r="E101" i="11"/>
  <c r="E103" i="11"/>
  <c r="E105" i="11"/>
  <c r="E107" i="11"/>
  <c r="E109" i="11"/>
  <c r="E111" i="11"/>
  <c r="E113" i="11"/>
  <c r="E115" i="11"/>
  <c r="E117" i="11"/>
  <c r="E119" i="11"/>
  <c r="E121" i="11"/>
  <c r="E123" i="11"/>
  <c r="E7" i="11"/>
  <c r="E11" i="11"/>
  <c r="E13" i="11"/>
  <c r="E15" i="11"/>
  <c r="E17" i="11"/>
  <c r="F19" i="11"/>
  <c r="G19" i="11" s="1"/>
  <c r="F21" i="11"/>
  <c r="G21" i="11" s="1"/>
  <c r="F23" i="11"/>
  <c r="G23" i="11" s="1"/>
  <c r="F25" i="11"/>
  <c r="G25" i="11" s="1"/>
  <c r="F27" i="11"/>
  <c r="G27" i="11" s="1"/>
  <c r="F29" i="11"/>
  <c r="G29" i="11" s="1"/>
  <c r="F31" i="11"/>
  <c r="G31" i="11" s="1"/>
  <c r="F33" i="11"/>
  <c r="G33" i="11" s="1"/>
  <c r="F35" i="11"/>
  <c r="G35" i="11" s="1"/>
  <c r="F37" i="11"/>
  <c r="G37" i="11" s="1"/>
  <c r="F39" i="11"/>
  <c r="G39" i="11" s="1"/>
  <c r="F41" i="11"/>
  <c r="G41" i="11" s="1"/>
  <c r="F43" i="11"/>
  <c r="G43" i="11" s="1"/>
  <c r="F45" i="11"/>
  <c r="G45" i="11" s="1"/>
  <c r="F47" i="11"/>
  <c r="G47" i="11" s="1"/>
  <c r="F49" i="11"/>
  <c r="G49" i="11" s="1"/>
  <c r="F51" i="11"/>
  <c r="G51" i="11" s="1"/>
  <c r="F53" i="11"/>
  <c r="G53" i="11" s="1"/>
  <c r="F55" i="11"/>
  <c r="G55" i="11" s="1"/>
  <c r="F57" i="11"/>
  <c r="G57" i="11" s="1"/>
  <c r="F59" i="11"/>
  <c r="G59" i="11" s="1"/>
  <c r="F61" i="11"/>
  <c r="G61" i="11" s="1"/>
  <c r="F63" i="11"/>
  <c r="G63" i="11" s="1"/>
  <c r="F65" i="11"/>
  <c r="G65" i="11" s="1"/>
  <c r="F67" i="11"/>
  <c r="G67" i="11" s="1"/>
  <c r="F69" i="11"/>
  <c r="G69" i="11" s="1"/>
  <c r="F71" i="11"/>
  <c r="G71" i="11" s="1"/>
  <c r="F73" i="11"/>
  <c r="G73" i="11" s="1"/>
  <c r="F75" i="11"/>
  <c r="G75" i="11" s="1"/>
  <c r="F77" i="11"/>
  <c r="G77" i="11" s="1"/>
  <c r="F79" i="11"/>
  <c r="G79" i="11" s="1"/>
  <c r="F81" i="11"/>
  <c r="G81" i="11" s="1"/>
  <c r="F83" i="11"/>
  <c r="G83" i="11" s="1"/>
  <c r="F85" i="11"/>
  <c r="G85" i="11" s="1"/>
  <c r="F87" i="11"/>
  <c r="G87" i="11" s="1"/>
  <c r="F89" i="11"/>
  <c r="G89" i="11" s="1"/>
  <c r="F91" i="11"/>
  <c r="G91" i="11" s="1"/>
  <c r="F93" i="11"/>
  <c r="G93" i="11" s="1"/>
  <c r="F95" i="11"/>
  <c r="G95" i="11" s="1"/>
  <c r="F97" i="11"/>
  <c r="G97" i="11" s="1"/>
  <c r="F99" i="11"/>
  <c r="G99" i="11" s="1"/>
  <c r="F101" i="11"/>
  <c r="G101" i="11" s="1"/>
  <c r="F103" i="11"/>
  <c r="G103" i="11" s="1"/>
  <c r="F105" i="11"/>
  <c r="G105" i="11" s="1"/>
  <c r="F107" i="11"/>
  <c r="G107" i="11" s="1"/>
  <c r="F109" i="11"/>
  <c r="G109" i="11" s="1"/>
  <c r="F111" i="11"/>
  <c r="G111" i="11" s="1"/>
  <c r="F113" i="11"/>
  <c r="G113" i="11" s="1"/>
  <c r="F115" i="11"/>
  <c r="G115" i="11" s="1"/>
  <c r="F117" i="11"/>
  <c r="G117" i="11" s="1"/>
  <c r="F119" i="11"/>
  <c r="G119" i="11" s="1"/>
  <c r="F121" i="11"/>
  <c r="G121" i="11" s="1"/>
  <c r="F123" i="11"/>
  <c r="G123" i="11" s="1"/>
  <c r="F7" i="11"/>
  <c r="G7" i="11" s="1"/>
  <c r="F9" i="11"/>
  <c r="G9" i="11" s="1"/>
  <c r="F11" i="11"/>
  <c r="G11" i="11" s="1"/>
  <c r="F13" i="11"/>
  <c r="G13" i="11" s="1"/>
  <c r="F15" i="11"/>
  <c r="G15" i="11" s="1"/>
  <c r="F17" i="11"/>
  <c r="G17" i="11" s="1"/>
  <c r="C20" i="11"/>
  <c r="C22" i="11"/>
  <c r="C24" i="11"/>
  <c r="C26" i="11"/>
  <c r="C28" i="11"/>
  <c r="C30" i="11"/>
  <c r="C32" i="11"/>
  <c r="C34" i="11"/>
  <c r="C36" i="11"/>
  <c r="C38" i="11"/>
  <c r="C40" i="11"/>
  <c r="C42" i="11"/>
  <c r="C44" i="11"/>
  <c r="C46" i="11"/>
  <c r="C48" i="11"/>
  <c r="C50" i="11"/>
  <c r="C52" i="11"/>
  <c r="C54" i="11"/>
  <c r="C56" i="11"/>
  <c r="C58" i="11"/>
  <c r="C60" i="11"/>
  <c r="C62" i="11"/>
  <c r="C64" i="11"/>
  <c r="C66" i="11"/>
  <c r="C68" i="11"/>
  <c r="C70" i="11"/>
  <c r="C72" i="11"/>
  <c r="C74" i="11"/>
  <c r="C76" i="11"/>
  <c r="C78" i="11"/>
  <c r="C80" i="11"/>
  <c r="C82" i="11"/>
  <c r="C84" i="11"/>
  <c r="C86" i="11"/>
  <c r="C88" i="11"/>
  <c r="C90" i="11"/>
  <c r="C92" i="11"/>
  <c r="C94" i="11"/>
  <c r="C96" i="11"/>
  <c r="C98" i="11"/>
  <c r="C100" i="11"/>
  <c r="C102" i="11"/>
  <c r="C104" i="11"/>
  <c r="C106" i="11"/>
  <c r="C108" i="11"/>
  <c r="C110" i="11"/>
  <c r="C112" i="11"/>
  <c r="C114" i="11"/>
  <c r="C116" i="11"/>
  <c r="C118" i="11"/>
  <c r="C120" i="11"/>
  <c r="C122" i="11"/>
  <c r="C124" i="11"/>
  <c r="C8" i="11"/>
  <c r="C10" i="11"/>
  <c r="C12" i="11"/>
  <c r="C14" i="11"/>
  <c r="C16" i="11"/>
  <c r="C18" i="11"/>
  <c r="D20" i="11"/>
  <c r="D22" i="11"/>
  <c r="D24" i="11"/>
  <c r="D26" i="11"/>
  <c r="D28" i="11"/>
  <c r="D30" i="11"/>
  <c r="D32" i="11"/>
  <c r="D34" i="11"/>
  <c r="D36" i="11"/>
  <c r="D38" i="11"/>
  <c r="D40" i="11"/>
  <c r="D42" i="11"/>
  <c r="D44" i="11"/>
  <c r="D46" i="11"/>
  <c r="D48" i="11"/>
  <c r="D50" i="11"/>
  <c r="D52" i="11"/>
  <c r="D54" i="11"/>
  <c r="D56" i="11"/>
  <c r="D58" i="11"/>
  <c r="D60" i="11"/>
  <c r="D62" i="11"/>
  <c r="D64" i="11"/>
  <c r="D66" i="11"/>
  <c r="D68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6" i="11"/>
  <c r="D98" i="11"/>
  <c r="D100" i="11"/>
  <c r="D102" i="11"/>
  <c r="D104" i="11"/>
  <c r="D106" i="11"/>
  <c r="D108" i="11"/>
  <c r="D110" i="11"/>
  <c r="D112" i="11"/>
  <c r="D114" i="11"/>
  <c r="D116" i="11"/>
  <c r="D118" i="11"/>
  <c r="D120" i="11"/>
  <c r="D122" i="11"/>
  <c r="D124" i="11"/>
  <c r="D8" i="11"/>
  <c r="D10" i="11"/>
  <c r="D12" i="11"/>
  <c r="D14" i="11"/>
  <c r="D16" i="11"/>
  <c r="D18" i="11"/>
  <c r="E20" i="11"/>
  <c r="E22" i="11"/>
  <c r="E24" i="11"/>
  <c r="E26" i="11"/>
  <c r="E28" i="11"/>
  <c r="E30" i="11"/>
  <c r="E32" i="11"/>
  <c r="E34" i="11"/>
  <c r="E36" i="11"/>
  <c r="E38" i="11"/>
  <c r="E40" i="11"/>
  <c r="E42" i="11"/>
  <c r="E44" i="11"/>
  <c r="E46" i="11"/>
  <c r="E48" i="11"/>
  <c r="E50" i="11"/>
  <c r="E52" i="11"/>
  <c r="E54" i="11"/>
  <c r="E56" i="11"/>
  <c r="E58" i="11"/>
  <c r="E60" i="11"/>
  <c r="E62" i="11"/>
  <c r="E64" i="11"/>
  <c r="E66" i="11"/>
  <c r="E68" i="11"/>
  <c r="E70" i="11"/>
  <c r="E72" i="11"/>
  <c r="E74" i="11"/>
  <c r="E76" i="11"/>
  <c r="E78" i="11"/>
  <c r="E80" i="11"/>
  <c r="E82" i="11"/>
  <c r="E84" i="11"/>
  <c r="E86" i="11"/>
  <c r="E88" i="11"/>
  <c r="E90" i="11"/>
  <c r="E92" i="11"/>
  <c r="E94" i="11"/>
  <c r="E96" i="11"/>
  <c r="E98" i="11"/>
  <c r="E100" i="11"/>
  <c r="E102" i="11"/>
  <c r="E104" i="11"/>
  <c r="E106" i="11"/>
  <c r="E108" i="11"/>
  <c r="E110" i="11"/>
  <c r="E112" i="11"/>
  <c r="E114" i="11"/>
  <c r="E116" i="11"/>
  <c r="E118" i="11"/>
  <c r="E120" i="11"/>
  <c r="E122" i="11"/>
  <c r="E17" i="10"/>
  <c r="D127" i="10"/>
  <c r="D131" i="10"/>
  <c r="D135" i="10"/>
  <c r="D139" i="10"/>
  <c r="D143" i="10"/>
  <c r="D147" i="10"/>
  <c r="D151" i="10"/>
  <c r="D155" i="10"/>
  <c r="D159" i="10"/>
  <c r="D163" i="10"/>
  <c r="D167" i="10"/>
  <c r="D171" i="10"/>
  <c r="D175" i="10"/>
  <c r="D179" i="10"/>
  <c r="D183" i="10"/>
  <c r="D187" i="10"/>
  <c r="F123" i="10"/>
  <c r="G123" i="10" s="1"/>
  <c r="F120" i="10"/>
  <c r="G120" i="10" s="1"/>
  <c r="F117" i="10"/>
  <c r="G117" i="10" s="1"/>
  <c r="F114" i="10"/>
  <c r="G114" i="10" s="1"/>
  <c r="F111" i="10"/>
  <c r="G111" i="10" s="1"/>
  <c r="F108" i="10"/>
  <c r="G108" i="10" s="1"/>
  <c r="F105" i="10"/>
  <c r="G105" i="10" s="1"/>
  <c r="F102" i="10"/>
  <c r="G102" i="10" s="1"/>
  <c r="F99" i="10"/>
  <c r="G99" i="10" s="1"/>
  <c r="F96" i="10"/>
  <c r="G96" i="10" s="1"/>
  <c r="F93" i="10"/>
  <c r="G93" i="10" s="1"/>
  <c r="F90" i="10"/>
  <c r="G90" i="10" s="1"/>
  <c r="F87" i="10"/>
  <c r="G87" i="10" s="1"/>
  <c r="F84" i="10"/>
  <c r="G84" i="10" s="1"/>
  <c r="F81" i="10"/>
  <c r="G81" i="10" s="1"/>
  <c r="F78" i="10"/>
  <c r="G78" i="10" s="1"/>
  <c r="F75" i="10"/>
  <c r="G75" i="10" s="1"/>
  <c r="F72" i="10"/>
  <c r="G72" i="10" s="1"/>
  <c r="F69" i="10"/>
  <c r="G69" i="10" s="1"/>
  <c r="F66" i="10"/>
  <c r="G66" i="10" s="1"/>
  <c r="F63" i="10"/>
  <c r="G63" i="10" s="1"/>
  <c r="F60" i="10"/>
  <c r="G60" i="10" s="1"/>
  <c r="F57" i="10"/>
  <c r="G57" i="10" s="1"/>
  <c r="F54" i="10"/>
  <c r="G54" i="10" s="1"/>
  <c r="F51" i="10"/>
  <c r="G51" i="10" s="1"/>
  <c r="F48" i="10"/>
  <c r="G48" i="10" s="1"/>
  <c r="F45" i="10"/>
  <c r="G45" i="10" s="1"/>
  <c r="F42" i="10"/>
  <c r="G42" i="10" s="1"/>
  <c r="F39" i="10"/>
  <c r="G39" i="10" s="1"/>
  <c r="F36" i="10"/>
  <c r="G36" i="10" s="1"/>
  <c r="F33" i="10"/>
  <c r="G33" i="10" s="1"/>
  <c r="F30" i="10"/>
  <c r="G30" i="10" s="1"/>
  <c r="F27" i="10"/>
  <c r="G27" i="10" s="1"/>
  <c r="E127" i="10"/>
  <c r="C128" i="10"/>
  <c r="C132" i="10"/>
  <c r="C136" i="10"/>
  <c r="C140" i="10"/>
  <c r="C144" i="10"/>
  <c r="C148" i="10"/>
  <c r="C152" i="10"/>
  <c r="C156" i="10"/>
  <c r="C160" i="10"/>
  <c r="C164" i="10"/>
  <c r="C168" i="10"/>
  <c r="C172" i="10"/>
  <c r="C176" i="10"/>
  <c r="C180" i="10"/>
  <c r="C184" i="10"/>
  <c r="C188" i="10"/>
  <c r="D123" i="10"/>
  <c r="D120" i="10"/>
  <c r="D117" i="10"/>
  <c r="D114" i="10"/>
  <c r="D111" i="10"/>
  <c r="D108" i="10"/>
  <c r="D105" i="10"/>
  <c r="D102" i="10"/>
  <c r="D99" i="10"/>
  <c r="D96" i="10"/>
  <c r="D93" i="10"/>
  <c r="D90" i="10"/>
  <c r="D87" i="10"/>
  <c r="D84" i="10"/>
  <c r="D81" i="10"/>
  <c r="D78" i="10"/>
  <c r="D75" i="10"/>
  <c r="D72" i="10"/>
  <c r="D69" i="10"/>
  <c r="D66" i="10"/>
  <c r="D63" i="10"/>
  <c r="D60" i="10"/>
  <c r="D57" i="10"/>
  <c r="D54" i="10"/>
  <c r="D51" i="10"/>
  <c r="D48" i="10"/>
  <c r="D45" i="10"/>
  <c r="D42" i="10"/>
  <c r="D39" i="10"/>
  <c r="D36" i="10"/>
  <c r="D33" i="10"/>
  <c r="D30" i="10"/>
  <c r="D27" i="10"/>
  <c r="D24" i="10"/>
  <c r="D21" i="10"/>
  <c r="D18" i="10"/>
  <c r="D15" i="10"/>
  <c r="D12" i="10"/>
  <c r="D9" i="10"/>
  <c r="D132" i="10"/>
  <c r="D136" i="10"/>
  <c r="D140" i="10"/>
  <c r="D144" i="10"/>
  <c r="D148" i="10"/>
  <c r="D152" i="10"/>
  <c r="D156" i="10"/>
  <c r="D160" i="10"/>
  <c r="D164" i="10"/>
  <c r="D168" i="10"/>
  <c r="D172" i="10"/>
  <c r="D176" i="10"/>
  <c r="D180" i="10"/>
  <c r="D184" i="10"/>
  <c r="D188" i="10"/>
  <c r="C123" i="10"/>
  <c r="D128" i="10"/>
  <c r="E128" i="10"/>
  <c r="E132" i="10"/>
  <c r="E136" i="10"/>
  <c r="E140" i="10"/>
  <c r="E144" i="10"/>
  <c r="E148" i="10"/>
  <c r="E152" i="10"/>
  <c r="E156" i="10"/>
  <c r="E160" i="10"/>
  <c r="E164" i="10"/>
  <c r="E168" i="10"/>
  <c r="E172" i="10"/>
  <c r="E176" i="10"/>
  <c r="E180" i="10"/>
  <c r="E184" i="10"/>
  <c r="E188" i="10"/>
  <c r="F122" i="10"/>
  <c r="G122" i="10" s="1"/>
  <c r="F119" i="10"/>
  <c r="G119" i="10" s="1"/>
  <c r="F116" i="10"/>
  <c r="G116" i="10" s="1"/>
  <c r="F113" i="10"/>
  <c r="G113" i="10" s="1"/>
  <c r="F110" i="10"/>
  <c r="G110" i="10" s="1"/>
  <c r="F107" i="10"/>
  <c r="G107" i="10" s="1"/>
  <c r="F104" i="10"/>
  <c r="G104" i="10" s="1"/>
  <c r="F101" i="10"/>
  <c r="G101" i="10" s="1"/>
  <c r="F98" i="10"/>
  <c r="G98" i="10" s="1"/>
  <c r="F95" i="10"/>
  <c r="G95" i="10" s="1"/>
  <c r="F92" i="10"/>
  <c r="G92" i="10" s="1"/>
  <c r="F89" i="10"/>
  <c r="G89" i="10" s="1"/>
  <c r="F86" i="10"/>
  <c r="G86" i="10" s="1"/>
  <c r="F83" i="10"/>
  <c r="G83" i="10" s="1"/>
  <c r="F80" i="10"/>
  <c r="G80" i="10" s="1"/>
  <c r="F77" i="10"/>
  <c r="G77" i="10" s="1"/>
  <c r="F74" i="10"/>
  <c r="G74" i="10" s="1"/>
  <c r="F71" i="10"/>
  <c r="G71" i="10" s="1"/>
  <c r="F68" i="10"/>
  <c r="G68" i="10" s="1"/>
  <c r="F65" i="10"/>
  <c r="G65" i="10" s="1"/>
  <c r="F62" i="10"/>
  <c r="G62" i="10" s="1"/>
  <c r="F59" i="10"/>
  <c r="G59" i="10" s="1"/>
  <c r="F56" i="10"/>
  <c r="G56" i="10" s="1"/>
  <c r="F53" i="10"/>
  <c r="G53" i="10" s="1"/>
  <c r="F50" i="10"/>
  <c r="G50" i="10" s="1"/>
  <c r="F47" i="10"/>
  <c r="G47" i="10" s="1"/>
  <c r="F44" i="10"/>
  <c r="G44" i="10" s="1"/>
  <c r="F41" i="10"/>
  <c r="G41" i="10" s="1"/>
  <c r="F38" i="10"/>
  <c r="G38" i="10" s="1"/>
  <c r="F35" i="10"/>
  <c r="G35" i="10" s="1"/>
  <c r="F32" i="10"/>
  <c r="G32" i="10" s="1"/>
  <c r="F29" i="10"/>
  <c r="G29" i="10" s="1"/>
  <c r="F26" i="10"/>
  <c r="G26" i="10" s="1"/>
  <c r="F23" i="10"/>
  <c r="G23" i="10" s="1"/>
  <c r="F20" i="10"/>
  <c r="G20" i="10" s="1"/>
  <c r="F17" i="10"/>
  <c r="G17" i="10" s="1"/>
  <c r="F14" i="10"/>
  <c r="G14" i="10" s="1"/>
  <c r="F11" i="10"/>
  <c r="G11" i="10" s="1"/>
  <c r="F8" i="10"/>
  <c r="G8" i="10" s="1"/>
  <c r="C125" i="10"/>
  <c r="C129" i="10"/>
  <c r="C133" i="10"/>
  <c r="C137" i="10"/>
  <c r="C141" i="10"/>
  <c r="C145" i="10"/>
  <c r="C149" i="10"/>
  <c r="C153" i="10"/>
  <c r="C157" i="10"/>
  <c r="C161" i="10"/>
  <c r="C165" i="10"/>
  <c r="C169" i="10"/>
  <c r="C173" i="10"/>
  <c r="C177" i="10"/>
  <c r="C181" i="10"/>
  <c r="C185" i="10"/>
  <c r="C189" i="10"/>
  <c r="E122" i="10"/>
  <c r="E119" i="10"/>
  <c r="E116" i="10"/>
  <c r="E113" i="10"/>
  <c r="E110" i="10"/>
  <c r="E107" i="10"/>
  <c r="E104" i="10"/>
  <c r="E101" i="10"/>
  <c r="E98" i="10"/>
  <c r="E95" i="10"/>
  <c r="E92" i="10"/>
  <c r="E89" i="10"/>
  <c r="E86" i="10"/>
  <c r="D125" i="10"/>
  <c r="E131" i="10"/>
  <c r="E138" i="10"/>
  <c r="C146" i="10"/>
  <c r="D153" i="10"/>
  <c r="C159" i="10"/>
  <c r="D166" i="10"/>
  <c r="E173" i="10"/>
  <c r="E179" i="10"/>
  <c r="E186" i="10"/>
  <c r="F121" i="10"/>
  <c r="G121" i="10" s="1"/>
  <c r="E117" i="10"/>
  <c r="F112" i="10"/>
  <c r="G112" i="10" s="1"/>
  <c r="E108" i="10"/>
  <c r="F103" i="10"/>
  <c r="G103" i="10" s="1"/>
  <c r="E99" i="10"/>
  <c r="F94" i="10"/>
  <c r="G94" i="10" s="1"/>
  <c r="E90" i="10"/>
  <c r="F85" i="10"/>
  <c r="G85" i="10" s="1"/>
  <c r="C82" i="10"/>
  <c r="E77" i="10"/>
  <c r="F73" i="10"/>
  <c r="G73" i="10" s="1"/>
  <c r="C70" i="10"/>
  <c r="E65" i="10"/>
  <c r="F61" i="10"/>
  <c r="G61" i="10" s="1"/>
  <c r="C58" i="10"/>
  <c r="E53" i="10"/>
  <c r="F49" i="10"/>
  <c r="G49" i="10" s="1"/>
  <c r="C46" i="10"/>
  <c r="E41" i="10"/>
  <c r="F37" i="10"/>
  <c r="G37" i="10" s="1"/>
  <c r="C34" i="10"/>
  <c r="E29" i="10"/>
  <c r="F25" i="10"/>
  <c r="G25" i="10" s="1"/>
  <c r="D22" i="10"/>
  <c r="F18" i="10"/>
  <c r="G18" i="10" s="1"/>
  <c r="C15" i="10"/>
  <c r="D11" i="10"/>
  <c r="F106" i="10"/>
  <c r="G106" i="10" s="1"/>
  <c r="E72" i="10"/>
  <c r="D44" i="10"/>
  <c r="F24" i="10"/>
  <c r="G24" i="10" s="1"/>
  <c r="D10" i="10"/>
  <c r="D149" i="10"/>
  <c r="E182" i="10"/>
  <c r="E106" i="10"/>
  <c r="E88" i="10"/>
  <c r="C68" i="10"/>
  <c r="C48" i="10"/>
  <c r="D28" i="10"/>
  <c r="D129" i="10"/>
  <c r="E155" i="10"/>
  <c r="E124" i="10"/>
  <c r="D101" i="10"/>
  <c r="E83" i="10"/>
  <c r="C64" i="10"/>
  <c r="E125" i="10"/>
  <c r="D133" i="10"/>
  <c r="C139" i="10"/>
  <c r="D146" i="10"/>
  <c r="E153" i="10"/>
  <c r="E159" i="10"/>
  <c r="E166" i="10"/>
  <c r="C174" i="10"/>
  <c r="D181" i="10"/>
  <c r="C187" i="10"/>
  <c r="E121" i="10"/>
  <c r="C117" i="10"/>
  <c r="E112" i="10"/>
  <c r="C108" i="10"/>
  <c r="E103" i="10"/>
  <c r="C99" i="10"/>
  <c r="E94" i="10"/>
  <c r="C90" i="10"/>
  <c r="E85" i="10"/>
  <c r="E81" i="10"/>
  <c r="D77" i="10"/>
  <c r="E73" i="10"/>
  <c r="D65" i="10"/>
  <c r="E61" i="10"/>
  <c r="D53" i="10"/>
  <c r="E49" i="10"/>
  <c r="E45" i="10"/>
  <c r="D41" i="10"/>
  <c r="E33" i="10"/>
  <c r="D29" i="10"/>
  <c r="E25" i="10"/>
  <c r="C22" i="10"/>
  <c r="E18" i="10"/>
  <c r="E14" i="10"/>
  <c r="C11" i="10"/>
  <c r="D169" i="10"/>
  <c r="F88" i="10"/>
  <c r="G88" i="10" s="1"/>
  <c r="E60" i="10"/>
  <c r="E40" i="10"/>
  <c r="C21" i="10"/>
  <c r="C142" i="10"/>
  <c r="D162" i="10"/>
  <c r="C120" i="10"/>
  <c r="E97" i="10"/>
  <c r="D76" i="10"/>
  <c r="C56" i="10"/>
  <c r="D40" i="10"/>
  <c r="E20" i="10"/>
  <c r="D142" i="10"/>
  <c r="C170" i="10"/>
  <c r="D115" i="10"/>
  <c r="D97" i="10"/>
  <c r="C76" i="10"/>
  <c r="C126" i="10"/>
  <c r="E133" i="10"/>
  <c r="E139" i="10"/>
  <c r="E146" i="10"/>
  <c r="C154" i="10"/>
  <c r="D161" i="10"/>
  <c r="C167" i="10"/>
  <c r="D174" i="10"/>
  <c r="E181" i="10"/>
  <c r="E187" i="10"/>
  <c r="D121" i="10"/>
  <c r="D116" i="10"/>
  <c r="D112" i="10"/>
  <c r="D107" i="10"/>
  <c r="D103" i="10"/>
  <c r="D98" i="10"/>
  <c r="D94" i="10"/>
  <c r="D89" i="10"/>
  <c r="D85" i="10"/>
  <c r="C81" i="10"/>
  <c r="C77" i="10"/>
  <c r="D73" i="10"/>
  <c r="C69" i="10"/>
  <c r="C65" i="10"/>
  <c r="D61" i="10"/>
  <c r="C57" i="10"/>
  <c r="C53" i="10"/>
  <c r="D49" i="10"/>
  <c r="C45" i="10"/>
  <c r="C41" i="10"/>
  <c r="D37" i="10"/>
  <c r="C33" i="10"/>
  <c r="C29" i="10"/>
  <c r="D25" i="10"/>
  <c r="F21" i="10"/>
  <c r="G21" i="10" s="1"/>
  <c r="C18" i="10"/>
  <c r="D14" i="10"/>
  <c r="F10" i="10"/>
  <c r="G10" i="10" s="1"/>
  <c r="C175" i="10"/>
  <c r="D80" i="10"/>
  <c r="D32" i="10"/>
  <c r="D17" i="10"/>
  <c r="C127" i="10"/>
  <c r="E175" i="10"/>
  <c r="C111" i="10"/>
  <c r="C84" i="10"/>
  <c r="D64" i="10"/>
  <c r="C36" i="10"/>
  <c r="E13" i="10"/>
  <c r="E149" i="10"/>
  <c r="D177" i="10"/>
  <c r="D110" i="10"/>
  <c r="D88" i="10"/>
  <c r="F67" i="10"/>
  <c r="G67" i="10" s="1"/>
  <c r="D126" i="10"/>
  <c r="C134" i="10"/>
  <c r="D141" i="10"/>
  <c r="C147" i="10"/>
  <c r="D154" i="10"/>
  <c r="E161" i="10"/>
  <c r="E167" i="10"/>
  <c r="E174" i="10"/>
  <c r="C182" i="10"/>
  <c r="D189" i="10"/>
  <c r="C121" i="10"/>
  <c r="C116" i="10"/>
  <c r="C112" i="10"/>
  <c r="C107" i="10"/>
  <c r="C103" i="10"/>
  <c r="C98" i="10"/>
  <c r="C94" i="10"/>
  <c r="C89" i="10"/>
  <c r="C85" i="10"/>
  <c r="E80" i="10"/>
  <c r="F76" i="10"/>
  <c r="G76" i="10" s="1"/>
  <c r="C73" i="10"/>
  <c r="E68" i="10"/>
  <c r="F64" i="10"/>
  <c r="G64" i="10" s="1"/>
  <c r="C61" i="10"/>
  <c r="F52" i="10"/>
  <c r="G52" i="10" s="1"/>
  <c r="C49" i="10"/>
  <c r="E44" i="10"/>
  <c r="F40" i="10"/>
  <c r="G40" i="10" s="1"/>
  <c r="C37" i="10"/>
  <c r="F28" i="10"/>
  <c r="G28" i="10" s="1"/>
  <c r="C25" i="10"/>
  <c r="E21" i="10"/>
  <c r="C14" i="10"/>
  <c r="E10" i="10"/>
  <c r="E126" i="10"/>
  <c r="D134" i="10"/>
  <c r="E141" i="10"/>
  <c r="E147" i="10"/>
  <c r="E154" i="10"/>
  <c r="C162" i="10"/>
  <c r="D182" i="10"/>
  <c r="E189" i="10"/>
  <c r="E120" i="10"/>
  <c r="F115" i="10"/>
  <c r="G115" i="10" s="1"/>
  <c r="E111" i="10"/>
  <c r="E102" i="10"/>
  <c r="F97" i="10"/>
  <c r="G97" i="10" s="1"/>
  <c r="E93" i="10"/>
  <c r="E84" i="10"/>
  <c r="E76" i="10"/>
  <c r="D68" i="10"/>
  <c r="E64" i="10"/>
  <c r="D56" i="10"/>
  <c r="E48" i="10"/>
  <c r="E36" i="10"/>
  <c r="F13" i="10"/>
  <c r="G13" i="10" s="1"/>
  <c r="E134" i="10"/>
  <c r="C155" i="10"/>
  <c r="E169" i="10"/>
  <c r="F124" i="10"/>
  <c r="G124" i="10" s="1"/>
  <c r="E115" i="10"/>
  <c r="C102" i="10"/>
  <c r="C93" i="10"/>
  <c r="C80" i="10"/>
  <c r="C72" i="10"/>
  <c r="C60" i="10"/>
  <c r="D52" i="10"/>
  <c r="C44" i="10"/>
  <c r="C32" i="10"/>
  <c r="E24" i="10"/>
  <c r="C17" i="10"/>
  <c r="C10" i="10"/>
  <c r="C135" i="10"/>
  <c r="E162" i="10"/>
  <c r="C183" i="10"/>
  <c r="D119" i="10"/>
  <c r="D106" i="10"/>
  <c r="D92" i="10"/>
  <c r="F79" i="10"/>
  <c r="G79" i="10" s="1"/>
  <c r="E71" i="10"/>
  <c r="E129" i="10"/>
  <c r="E143" i="10"/>
  <c r="E158" i="10"/>
  <c r="C178" i="10"/>
  <c r="D122" i="10"/>
  <c r="C110" i="10"/>
  <c r="E100" i="10"/>
  <c r="C91" i="10"/>
  <c r="D79" i="10"/>
  <c r="C52" i="10"/>
  <c r="F43" i="10"/>
  <c r="G43" i="10" s="1"/>
  <c r="E35" i="10"/>
  <c r="C28" i="10"/>
  <c r="D20" i="10"/>
  <c r="D13" i="10"/>
  <c r="F19" i="10"/>
  <c r="G19" i="10" s="1"/>
  <c r="D26" i="10"/>
  <c r="E135" i="10"/>
  <c r="D58" i="10"/>
  <c r="E11" i="10"/>
  <c r="E185" i="10"/>
  <c r="E74" i="10"/>
  <c r="C40" i="10"/>
  <c r="E137" i="10"/>
  <c r="C83" i="10"/>
  <c r="E39" i="10"/>
  <c r="D157" i="10"/>
  <c r="D104" i="10"/>
  <c r="D55" i="10"/>
  <c r="D16" i="10"/>
  <c r="E171" i="10"/>
  <c r="E82" i="10"/>
  <c r="E38" i="10"/>
  <c r="D173" i="10"/>
  <c r="C101" i="10"/>
  <c r="E46" i="10"/>
  <c r="D8" i="10"/>
  <c r="E123" i="10"/>
  <c r="C62" i="10"/>
  <c r="C30" i="10"/>
  <c r="C130" i="10"/>
  <c r="D145" i="10"/>
  <c r="C163" i="10"/>
  <c r="D178" i="10"/>
  <c r="C122" i="10"/>
  <c r="F109" i="10"/>
  <c r="G109" i="10" s="1"/>
  <c r="D100" i="10"/>
  <c r="C88" i="10"/>
  <c r="C79" i="10"/>
  <c r="D70" i="10"/>
  <c r="D59" i="10"/>
  <c r="E51" i="10"/>
  <c r="E43" i="10"/>
  <c r="D35" i="10"/>
  <c r="E27" i="10"/>
  <c r="C20" i="10"/>
  <c r="C13" i="10"/>
  <c r="C27" i="10"/>
  <c r="D19" i="10"/>
  <c r="E150" i="10"/>
  <c r="E66" i="10"/>
  <c r="C26" i="10"/>
  <c r="D170" i="10"/>
  <c r="D95" i="10"/>
  <c r="F55" i="10"/>
  <c r="G55" i="10" s="1"/>
  <c r="F16" i="10"/>
  <c r="G16" i="10" s="1"/>
  <c r="C186" i="10"/>
  <c r="D74" i="10"/>
  <c r="C138" i="10"/>
  <c r="C92" i="10"/>
  <c r="C47" i="10"/>
  <c r="C9" i="10"/>
  <c r="D124" i="10"/>
  <c r="E62" i="10"/>
  <c r="C31" i="10"/>
  <c r="E142" i="10"/>
  <c r="D82" i="10"/>
  <c r="D38" i="10"/>
  <c r="D158" i="10"/>
  <c r="F100" i="10"/>
  <c r="G100" i="10" s="1"/>
  <c r="D46" i="10"/>
  <c r="C8" i="10"/>
  <c r="D130" i="10"/>
  <c r="E145" i="10"/>
  <c r="E163" i="10"/>
  <c r="E178" i="10"/>
  <c r="C119" i="10"/>
  <c r="E109" i="10"/>
  <c r="C100" i="10"/>
  <c r="E87" i="10"/>
  <c r="E78" i="10"/>
  <c r="E67" i="10"/>
  <c r="C59" i="10"/>
  <c r="C51" i="10"/>
  <c r="D43" i="10"/>
  <c r="C35" i="10"/>
  <c r="F12" i="10"/>
  <c r="G12" i="10" s="1"/>
  <c r="D185" i="10"/>
  <c r="C86" i="10"/>
  <c r="C42" i="10"/>
  <c r="C151" i="10"/>
  <c r="E105" i="10"/>
  <c r="E47" i="10"/>
  <c r="E170" i="10"/>
  <c r="C105" i="10"/>
  <c r="E55" i="10"/>
  <c r="E16" i="10"/>
  <c r="D186" i="10"/>
  <c r="C74" i="10"/>
  <c r="D31" i="10"/>
  <c r="E157" i="10"/>
  <c r="D71" i="10"/>
  <c r="C23" i="10"/>
  <c r="C124" i="10"/>
  <c r="E91" i="10"/>
  <c r="D62" i="10"/>
  <c r="F22" i="10"/>
  <c r="G22" i="10" s="1"/>
  <c r="E177" i="10"/>
  <c r="F70" i="10"/>
  <c r="G70" i="10" s="1"/>
  <c r="E22" i="10"/>
  <c r="E130" i="10"/>
  <c r="C150" i="10"/>
  <c r="D165" i="10"/>
  <c r="C179" i="10"/>
  <c r="F118" i="10"/>
  <c r="G118" i="10" s="1"/>
  <c r="D109" i="10"/>
  <c r="C97" i="10"/>
  <c r="C87" i="10"/>
  <c r="C78" i="10"/>
  <c r="D67" i="10"/>
  <c r="F58" i="10"/>
  <c r="G58" i="10" s="1"/>
  <c r="E50" i="10"/>
  <c r="C43" i="10"/>
  <c r="F34" i="10"/>
  <c r="G34" i="10" s="1"/>
  <c r="E19" i="10"/>
  <c r="E12" i="10"/>
  <c r="C131" i="10"/>
  <c r="D150" i="10"/>
  <c r="E165" i="10"/>
  <c r="E183" i="10"/>
  <c r="E118" i="10"/>
  <c r="C109" i="10"/>
  <c r="E96" i="10"/>
  <c r="D86" i="10"/>
  <c r="E75" i="10"/>
  <c r="C67" i="10"/>
  <c r="E58" i="10"/>
  <c r="D50" i="10"/>
  <c r="E42" i="10"/>
  <c r="E34" i="10"/>
  <c r="C12" i="10"/>
  <c r="C166" i="10"/>
  <c r="D118" i="10"/>
  <c r="C106" i="10"/>
  <c r="C96" i="10"/>
  <c r="C75" i="10"/>
  <c r="C50" i="10"/>
  <c r="D34" i="10"/>
  <c r="C19" i="10"/>
  <c r="D137" i="10"/>
  <c r="C118" i="10"/>
  <c r="D83" i="10"/>
  <c r="C66" i="10"/>
  <c r="F31" i="10"/>
  <c r="G31" i="10" s="1"/>
  <c r="C24" i="10"/>
  <c r="F9" i="10"/>
  <c r="G9" i="10" s="1"/>
  <c r="E151" i="10"/>
  <c r="C115" i="10"/>
  <c r="C95" i="10"/>
  <c r="E63" i="10"/>
  <c r="D47" i="10"/>
  <c r="E23" i="10"/>
  <c r="E9" i="10"/>
  <c r="C171" i="10"/>
  <c r="E114" i="10"/>
  <c r="F82" i="10"/>
  <c r="G82" i="10" s="1"/>
  <c r="C63" i="10"/>
  <c r="C39" i="10"/>
  <c r="D23" i="10"/>
  <c r="D138" i="10"/>
  <c r="C114" i="10"/>
  <c r="C104" i="10"/>
  <c r="F91" i="10"/>
  <c r="G91" i="10" s="1"/>
  <c r="C55" i="10"/>
  <c r="F46" i="10"/>
  <c r="G46" i="10" s="1"/>
  <c r="C16" i="10"/>
  <c r="E8" i="10"/>
  <c r="C158" i="10"/>
  <c r="D113" i="10"/>
  <c r="C71" i="10"/>
  <c r="E54" i="10"/>
  <c r="E30" i="10"/>
  <c r="F15" i="10"/>
  <c r="G15" i="10" s="1"/>
  <c r="C143" i="10"/>
  <c r="C113" i="10"/>
  <c r="D91" i="10"/>
  <c r="E79" i="10"/>
  <c r="C54" i="10"/>
  <c r="C38" i="10"/>
  <c r="E15" i="10"/>
  <c r="N185" i="1"/>
  <c r="E7" i="10"/>
  <c r="D7" i="10"/>
  <c r="F7" i="10"/>
  <c r="G7" i="10" s="1"/>
  <c r="C7" i="10"/>
  <c r="D20" i="6"/>
  <c r="C20" i="6"/>
  <c r="E125" i="5"/>
  <c r="D125" i="5"/>
  <c r="C129" i="5"/>
  <c r="C125" i="5"/>
  <c r="E128" i="5"/>
  <c r="D128" i="5"/>
  <c r="C128" i="5"/>
  <c r="E127" i="5"/>
  <c r="C127" i="5"/>
  <c r="E126" i="5"/>
  <c r="D127" i="5"/>
  <c r="D126" i="5"/>
  <c r="D129" i="5"/>
  <c r="C126" i="5"/>
  <c r="E129" i="5"/>
  <c r="D36" i="6"/>
  <c r="F68" i="8"/>
  <c r="G68" i="8" s="1"/>
  <c r="F65" i="8"/>
  <c r="G65" i="8" s="1"/>
  <c r="F62" i="8"/>
  <c r="G62" i="8" s="1"/>
  <c r="F59" i="8"/>
  <c r="G59" i="8" s="1"/>
  <c r="F56" i="8"/>
  <c r="G56" i="8" s="1"/>
  <c r="F53" i="8"/>
  <c r="G53" i="8" s="1"/>
  <c r="F50" i="8"/>
  <c r="G50" i="8" s="1"/>
  <c r="F47" i="8"/>
  <c r="G47" i="8" s="1"/>
  <c r="F44" i="8"/>
  <c r="G44" i="8" s="1"/>
  <c r="F41" i="8"/>
  <c r="G41" i="8" s="1"/>
  <c r="F38" i="8"/>
  <c r="G38" i="8" s="1"/>
  <c r="F35" i="8"/>
  <c r="G35" i="8" s="1"/>
  <c r="F32" i="8"/>
  <c r="G32" i="8" s="1"/>
  <c r="F29" i="8"/>
  <c r="G29" i="8" s="1"/>
  <c r="F26" i="8"/>
  <c r="G26" i="8" s="1"/>
  <c r="F23" i="8"/>
  <c r="G23" i="8" s="1"/>
  <c r="F20" i="8"/>
  <c r="G20" i="8" s="1"/>
  <c r="F17" i="8"/>
  <c r="G17" i="8" s="1"/>
  <c r="F14" i="8"/>
  <c r="G14" i="8" s="1"/>
  <c r="F11" i="8"/>
  <c r="G11" i="8" s="1"/>
  <c r="F8" i="8"/>
  <c r="G8" i="8" s="1"/>
  <c r="F54" i="7"/>
  <c r="G54" i="7" s="1"/>
  <c r="F51" i="7"/>
  <c r="G51" i="7" s="1"/>
  <c r="F48" i="7"/>
  <c r="G48" i="7" s="1"/>
  <c r="F45" i="7"/>
  <c r="G45" i="7" s="1"/>
  <c r="F42" i="7"/>
  <c r="G42" i="7" s="1"/>
  <c r="F39" i="7"/>
  <c r="G39" i="7" s="1"/>
  <c r="F36" i="7"/>
  <c r="G36" i="7" s="1"/>
  <c r="F33" i="7"/>
  <c r="G33" i="7" s="1"/>
  <c r="F30" i="7"/>
  <c r="G30" i="7" s="1"/>
  <c r="F27" i="7"/>
  <c r="G27" i="7" s="1"/>
  <c r="F24" i="7"/>
  <c r="G24" i="7" s="1"/>
  <c r="F21" i="7"/>
  <c r="G21" i="7" s="1"/>
  <c r="F18" i="7"/>
  <c r="G18" i="7" s="1"/>
  <c r="F15" i="7"/>
  <c r="G15" i="7" s="1"/>
  <c r="F12" i="7"/>
  <c r="G12" i="7" s="1"/>
  <c r="F9" i="7"/>
  <c r="G9" i="7" s="1"/>
  <c r="F26" i="6"/>
  <c r="G26" i="6" s="1"/>
  <c r="F23" i="6"/>
  <c r="G23" i="6" s="1"/>
  <c r="F20" i="6"/>
  <c r="G20" i="6" s="1"/>
  <c r="F17" i="6"/>
  <c r="G17" i="6" s="1"/>
  <c r="F14" i="6"/>
  <c r="G14" i="6" s="1"/>
  <c r="F11" i="6"/>
  <c r="G11" i="6" s="1"/>
  <c r="F8" i="6"/>
  <c r="G8" i="6" s="1"/>
  <c r="E17" i="6"/>
  <c r="E11" i="6"/>
  <c r="D32" i="8"/>
  <c r="D8" i="8"/>
  <c r="D48" i="7"/>
  <c r="D24" i="7"/>
  <c r="D15" i="7"/>
  <c r="D26" i="6"/>
  <c r="D17" i="6"/>
  <c r="D11" i="6"/>
  <c r="C21" i="7"/>
  <c r="D45" i="8"/>
  <c r="E68" i="8"/>
  <c r="E65" i="8"/>
  <c r="E62" i="8"/>
  <c r="E53" i="8"/>
  <c r="E50" i="8"/>
  <c r="E47" i="8"/>
  <c r="E44" i="8"/>
  <c r="E41" i="8"/>
  <c r="E38" i="8"/>
  <c r="E35" i="8"/>
  <c r="E32" i="8"/>
  <c r="E29" i="8"/>
  <c r="E26" i="8"/>
  <c r="E23" i="8"/>
  <c r="E20" i="8"/>
  <c r="E17" i="8"/>
  <c r="E14" i="8"/>
  <c r="E11" i="8"/>
  <c r="E8" i="8"/>
  <c r="E54" i="7"/>
  <c r="E51" i="7"/>
  <c r="E48" i="7"/>
  <c r="E45" i="7"/>
  <c r="E42" i="7"/>
  <c r="E39" i="7"/>
  <c r="E36" i="7"/>
  <c r="E33" i="7"/>
  <c r="E30" i="7"/>
  <c r="E24" i="7"/>
  <c r="E21" i="7"/>
  <c r="E18" i="7"/>
  <c r="E15" i="7"/>
  <c r="E12" i="7"/>
  <c r="E9" i="7"/>
  <c r="E26" i="6"/>
  <c r="E23" i="6"/>
  <c r="E14" i="6"/>
  <c r="E8" i="6"/>
  <c r="D26" i="8"/>
  <c r="D51" i="7"/>
  <c r="D30" i="7"/>
  <c r="D18" i="7"/>
  <c r="D9" i="7"/>
  <c r="C26" i="6"/>
  <c r="C14" i="6"/>
  <c r="C11" i="6"/>
  <c r="C8" i="6"/>
  <c r="F7" i="6"/>
  <c r="G7" i="6" s="1"/>
  <c r="D54" i="8"/>
  <c r="D43" i="7"/>
  <c r="D68" i="8"/>
  <c r="D65" i="8"/>
  <c r="D62" i="8"/>
  <c r="D59" i="8"/>
  <c r="D56" i="8"/>
  <c r="D53" i="8"/>
  <c r="D50" i="8"/>
  <c r="D47" i="8"/>
  <c r="D44" i="8"/>
  <c r="D41" i="8"/>
  <c r="D38" i="8"/>
  <c r="D35" i="8"/>
  <c r="D29" i="8"/>
  <c r="D23" i="8"/>
  <c r="D20" i="8"/>
  <c r="D17" i="8"/>
  <c r="D14" i="8"/>
  <c r="D11" i="8"/>
  <c r="D54" i="7"/>
  <c r="D45" i="7"/>
  <c r="D42" i="7"/>
  <c r="D39" i="7"/>
  <c r="D36" i="7"/>
  <c r="D33" i="7"/>
  <c r="D27" i="7"/>
  <c r="D21" i="7"/>
  <c r="D12" i="7"/>
  <c r="D23" i="6"/>
  <c r="D14" i="6"/>
  <c r="D8" i="6"/>
  <c r="C15" i="7"/>
  <c r="C17" i="6"/>
  <c r="D27" i="8"/>
  <c r="D40" i="7"/>
  <c r="D34" i="7"/>
  <c r="D25" i="7"/>
  <c r="D22" i="7"/>
  <c r="D13" i="7"/>
  <c r="D27" i="6"/>
  <c r="C49" i="7"/>
  <c r="C34" i="7"/>
  <c r="C28" i="7"/>
  <c r="C22" i="7"/>
  <c r="C10" i="7"/>
  <c r="C21" i="6"/>
  <c r="C68" i="8"/>
  <c r="C65" i="8"/>
  <c r="C62" i="8"/>
  <c r="C59" i="8"/>
  <c r="C56" i="8"/>
  <c r="C53" i="8"/>
  <c r="C50" i="8"/>
  <c r="C47" i="8"/>
  <c r="C44" i="8"/>
  <c r="C41" i="8"/>
  <c r="C38" i="8"/>
  <c r="C35" i="8"/>
  <c r="C32" i="8"/>
  <c r="C29" i="8"/>
  <c r="C26" i="8"/>
  <c r="C23" i="8"/>
  <c r="C20" i="8"/>
  <c r="C17" i="8"/>
  <c r="C14" i="8"/>
  <c r="C11" i="8"/>
  <c r="C8" i="8"/>
  <c r="C54" i="7"/>
  <c r="C51" i="7"/>
  <c r="C48" i="7"/>
  <c r="C45" i="7"/>
  <c r="C42" i="7"/>
  <c r="C39" i="7"/>
  <c r="C36" i="7"/>
  <c r="C33" i="7"/>
  <c r="C30" i="7"/>
  <c r="C27" i="7"/>
  <c r="C24" i="7"/>
  <c r="C18" i="7"/>
  <c r="C12" i="7"/>
  <c r="C9" i="7"/>
  <c r="C23" i="6"/>
  <c r="D51" i="8"/>
  <c r="D12" i="6"/>
  <c r="C37" i="7"/>
  <c r="C13" i="7"/>
  <c r="C15" i="6"/>
  <c r="F67" i="8"/>
  <c r="G67" i="8" s="1"/>
  <c r="F64" i="8"/>
  <c r="G64" i="8" s="1"/>
  <c r="F61" i="8"/>
  <c r="G61" i="8" s="1"/>
  <c r="F58" i="8"/>
  <c r="G58" i="8" s="1"/>
  <c r="F55" i="8"/>
  <c r="G55" i="8" s="1"/>
  <c r="F52" i="8"/>
  <c r="G52" i="8" s="1"/>
  <c r="F49" i="8"/>
  <c r="G49" i="8" s="1"/>
  <c r="F46" i="8"/>
  <c r="G46" i="8" s="1"/>
  <c r="F43" i="8"/>
  <c r="G43" i="8" s="1"/>
  <c r="F40" i="8"/>
  <c r="G40" i="8" s="1"/>
  <c r="F37" i="8"/>
  <c r="G37" i="8" s="1"/>
  <c r="F34" i="8"/>
  <c r="G34" i="8" s="1"/>
  <c r="F31" i="8"/>
  <c r="G31" i="8" s="1"/>
  <c r="F28" i="8"/>
  <c r="G28" i="8" s="1"/>
  <c r="F25" i="8"/>
  <c r="G25" i="8" s="1"/>
  <c r="F22" i="8"/>
  <c r="G22" i="8" s="1"/>
  <c r="F19" i="8"/>
  <c r="G19" i="8" s="1"/>
  <c r="F16" i="8"/>
  <c r="G16" i="8" s="1"/>
  <c r="F13" i="8"/>
  <c r="G13" i="8" s="1"/>
  <c r="F10" i="8"/>
  <c r="G10" i="8" s="1"/>
  <c r="F56" i="7"/>
  <c r="G56" i="7" s="1"/>
  <c r="F53" i="7"/>
  <c r="G53" i="7" s="1"/>
  <c r="F50" i="7"/>
  <c r="G50" i="7" s="1"/>
  <c r="F47" i="7"/>
  <c r="G47" i="7" s="1"/>
  <c r="F44" i="7"/>
  <c r="G44" i="7" s="1"/>
  <c r="F41" i="7"/>
  <c r="G41" i="7" s="1"/>
  <c r="F38" i="7"/>
  <c r="G38" i="7" s="1"/>
  <c r="F35" i="7"/>
  <c r="G35" i="7" s="1"/>
  <c r="F32" i="7"/>
  <c r="G32" i="7" s="1"/>
  <c r="F29" i="7"/>
  <c r="G29" i="7" s="1"/>
  <c r="F26" i="7"/>
  <c r="G26" i="7" s="1"/>
  <c r="F23" i="7"/>
  <c r="G23" i="7" s="1"/>
  <c r="F20" i="7"/>
  <c r="G20" i="7" s="1"/>
  <c r="F17" i="7"/>
  <c r="G17" i="7" s="1"/>
  <c r="F14" i="7"/>
  <c r="G14" i="7" s="1"/>
  <c r="F11" i="7"/>
  <c r="G11" i="7" s="1"/>
  <c r="F8" i="7"/>
  <c r="G8" i="7" s="1"/>
  <c r="F25" i="6"/>
  <c r="G25" i="6" s="1"/>
  <c r="F22" i="6"/>
  <c r="G22" i="6" s="1"/>
  <c r="F19" i="6"/>
  <c r="G19" i="6" s="1"/>
  <c r="F16" i="6"/>
  <c r="G16" i="6" s="1"/>
  <c r="F13" i="6"/>
  <c r="G13" i="6" s="1"/>
  <c r="F10" i="6"/>
  <c r="G10" i="6" s="1"/>
  <c r="D57" i="8"/>
  <c r="D49" i="7"/>
  <c r="E67" i="8"/>
  <c r="E64" i="8"/>
  <c r="E61" i="8"/>
  <c r="E58" i="8"/>
  <c r="E55" i="8"/>
  <c r="E49" i="8"/>
  <c r="E46" i="8"/>
  <c r="E43" i="8"/>
  <c r="E40" i="8"/>
  <c r="E34" i="8"/>
  <c r="E28" i="8"/>
  <c r="E25" i="8"/>
  <c r="E22" i="8"/>
  <c r="E19" i="8"/>
  <c r="E16" i="8"/>
  <c r="E13" i="8"/>
  <c r="E10" i="8"/>
  <c r="E53" i="7"/>
  <c r="E50" i="7"/>
  <c r="E47" i="7"/>
  <c r="E44" i="7"/>
  <c r="E41" i="7"/>
  <c r="E38" i="7"/>
  <c r="E35" i="7"/>
  <c r="E32" i="7"/>
  <c r="E29" i="7"/>
  <c r="E26" i="7"/>
  <c r="E23" i="7"/>
  <c r="E17" i="7"/>
  <c r="E14" i="7"/>
  <c r="E11" i="7"/>
  <c r="E8" i="7"/>
  <c r="E25" i="6"/>
  <c r="E22" i="6"/>
  <c r="E19" i="6"/>
  <c r="E16" i="6"/>
  <c r="E13" i="6"/>
  <c r="E10" i="6"/>
  <c r="E7" i="6"/>
  <c r="C10" i="6"/>
  <c r="E54" i="8"/>
  <c r="E43" i="7"/>
  <c r="E31" i="7"/>
  <c r="E19" i="7"/>
  <c r="D63" i="8"/>
  <c r="D48" i="8"/>
  <c r="D42" i="8"/>
  <c r="D33" i="8"/>
  <c r="D24" i="8"/>
  <c r="D15" i="8"/>
  <c r="D55" i="7"/>
  <c r="D18" i="6"/>
  <c r="C21" i="8"/>
  <c r="C40" i="7"/>
  <c r="C25" i="7"/>
  <c r="C16" i="7"/>
  <c r="C24" i="6"/>
  <c r="D67" i="8"/>
  <c r="D64" i="8"/>
  <c r="D61" i="8"/>
  <c r="D58" i="8"/>
  <c r="D55" i="8"/>
  <c r="D52" i="8"/>
  <c r="D49" i="8"/>
  <c r="D46" i="8"/>
  <c r="D43" i="8"/>
  <c r="D40" i="8"/>
  <c r="D37" i="8"/>
  <c r="D34" i="8"/>
  <c r="D31" i="8"/>
  <c r="D28" i="8"/>
  <c r="D25" i="8"/>
  <c r="D22" i="8"/>
  <c r="D19" i="8"/>
  <c r="D16" i="8"/>
  <c r="D13" i="8"/>
  <c r="D10" i="8"/>
  <c r="D56" i="7"/>
  <c r="D53" i="7"/>
  <c r="D50" i="7"/>
  <c r="D47" i="7"/>
  <c r="D44" i="7"/>
  <c r="D41" i="7"/>
  <c r="D38" i="7"/>
  <c r="D35" i="7"/>
  <c r="D32" i="7"/>
  <c r="D29" i="7"/>
  <c r="D26" i="7"/>
  <c r="D23" i="7"/>
  <c r="D20" i="7"/>
  <c r="D17" i="7"/>
  <c r="D14" i="7"/>
  <c r="D11" i="7"/>
  <c r="D8" i="7"/>
  <c r="D25" i="6"/>
  <c r="D22" i="6"/>
  <c r="D19" i="6"/>
  <c r="D16" i="6"/>
  <c r="D13" i="6"/>
  <c r="D10" i="6"/>
  <c r="D7" i="6"/>
  <c r="C7" i="6"/>
  <c r="E49" i="7"/>
  <c r="E16" i="7"/>
  <c r="E18" i="6"/>
  <c r="D60" i="8"/>
  <c r="D36" i="8"/>
  <c r="D21" i="8"/>
  <c r="D9" i="8"/>
  <c r="D46" i="7"/>
  <c r="C67" i="8"/>
  <c r="C64" i="8"/>
  <c r="C61" i="8"/>
  <c r="C58" i="8"/>
  <c r="C55" i="8"/>
  <c r="C52" i="8"/>
  <c r="C49" i="8"/>
  <c r="C46" i="8"/>
  <c r="C43" i="8"/>
  <c r="C40" i="8"/>
  <c r="C37" i="8"/>
  <c r="C34" i="8"/>
  <c r="C31" i="8"/>
  <c r="C28" i="8"/>
  <c r="C25" i="8"/>
  <c r="C22" i="8"/>
  <c r="C19" i="8"/>
  <c r="C16" i="8"/>
  <c r="C13" i="8"/>
  <c r="C10" i="8"/>
  <c r="C56" i="7"/>
  <c r="C53" i="7"/>
  <c r="C50" i="7"/>
  <c r="C47" i="7"/>
  <c r="C44" i="7"/>
  <c r="C41" i="7"/>
  <c r="C38" i="7"/>
  <c r="C35" i="7"/>
  <c r="C32" i="7"/>
  <c r="C29" i="7"/>
  <c r="C26" i="7"/>
  <c r="C23" i="7"/>
  <c r="C20" i="7"/>
  <c r="C17" i="7"/>
  <c r="C14" i="7"/>
  <c r="C11" i="7"/>
  <c r="C8" i="7"/>
  <c r="C25" i="6"/>
  <c r="C22" i="6"/>
  <c r="C19" i="6"/>
  <c r="C16" i="6"/>
  <c r="C13" i="6"/>
  <c r="E60" i="8"/>
  <c r="E39" i="8"/>
  <c r="E33" i="8"/>
  <c r="E27" i="8"/>
  <c r="E21" i="8"/>
  <c r="E15" i="8"/>
  <c r="E9" i="8"/>
  <c r="E46" i="7"/>
  <c r="E40" i="7"/>
  <c r="E22" i="7"/>
  <c r="E13" i="7"/>
  <c r="E24" i="6"/>
  <c r="E15" i="6"/>
  <c r="D66" i="8"/>
  <c r="D39" i="8"/>
  <c r="D30" i="8"/>
  <c r="D18" i="8"/>
  <c r="D12" i="8"/>
  <c r="D52" i="7"/>
  <c r="D28" i="7"/>
  <c r="D19" i="7"/>
  <c r="D10" i="7"/>
  <c r="D24" i="6"/>
  <c r="D15" i="6"/>
  <c r="D9" i="6"/>
  <c r="C54" i="8"/>
  <c r="F66" i="8"/>
  <c r="G66" i="8" s="1"/>
  <c r="F63" i="8"/>
  <c r="G63" i="8" s="1"/>
  <c r="F60" i="8"/>
  <c r="G60" i="8" s="1"/>
  <c r="F57" i="8"/>
  <c r="G57" i="8" s="1"/>
  <c r="F54" i="8"/>
  <c r="G54" i="8" s="1"/>
  <c r="F51" i="8"/>
  <c r="G51" i="8" s="1"/>
  <c r="F48" i="8"/>
  <c r="G48" i="8" s="1"/>
  <c r="F45" i="8"/>
  <c r="G45" i="8" s="1"/>
  <c r="F42" i="8"/>
  <c r="G42" i="8" s="1"/>
  <c r="F39" i="8"/>
  <c r="G39" i="8" s="1"/>
  <c r="F36" i="8"/>
  <c r="G36" i="8" s="1"/>
  <c r="F33" i="8"/>
  <c r="G33" i="8" s="1"/>
  <c r="F30" i="8"/>
  <c r="G30" i="8" s="1"/>
  <c r="F27" i="8"/>
  <c r="G27" i="8" s="1"/>
  <c r="F24" i="8"/>
  <c r="G24" i="8" s="1"/>
  <c r="F21" i="8"/>
  <c r="G21" i="8" s="1"/>
  <c r="F18" i="8"/>
  <c r="G18" i="8" s="1"/>
  <c r="F15" i="8"/>
  <c r="G15" i="8" s="1"/>
  <c r="F12" i="8"/>
  <c r="G12" i="8" s="1"/>
  <c r="F9" i="8"/>
  <c r="G9" i="8" s="1"/>
  <c r="F55" i="7"/>
  <c r="G55" i="7" s="1"/>
  <c r="F52" i="7"/>
  <c r="G52" i="7" s="1"/>
  <c r="F49" i="7"/>
  <c r="G49" i="7" s="1"/>
  <c r="F46" i="7"/>
  <c r="G46" i="7" s="1"/>
  <c r="F43" i="7"/>
  <c r="G43" i="7" s="1"/>
  <c r="F40" i="7"/>
  <c r="G40" i="7" s="1"/>
  <c r="F37" i="7"/>
  <c r="G37" i="7" s="1"/>
  <c r="F34" i="7"/>
  <c r="G34" i="7" s="1"/>
  <c r="F31" i="7"/>
  <c r="G31" i="7" s="1"/>
  <c r="F28" i="7"/>
  <c r="G28" i="7" s="1"/>
  <c r="F25" i="7"/>
  <c r="G25" i="7" s="1"/>
  <c r="F22" i="7"/>
  <c r="G22" i="7" s="1"/>
  <c r="F19" i="7"/>
  <c r="G19" i="7" s="1"/>
  <c r="F16" i="7"/>
  <c r="G16" i="7" s="1"/>
  <c r="F13" i="7"/>
  <c r="G13" i="7" s="1"/>
  <c r="F10" i="7"/>
  <c r="G10" i="7" s="1"/>
  <c r="F27" i="6"/>
  <c r="G27" i="6" s="1"/>
  <c r="F24" i="6"/>
  <c r="G24" i="6" s="1"/>
  <c r="F21" i="6"/>
  <c r="G21" i="6" s="1"/>
  <c r="F18" i="6"/>
  <c r="G18" i="6" s="1"/>
  <c r="F15" i="6"/>
  <c r="G15" i="6" s="1"/>
  <c r="F12" i="6"/>
  <c r="G12" i="6" s="1"/>
  <c r="F9" i="6"/>
  <c r="G9" i="6" s="1"/>
  <c r="E66" i="8"/>
  <c r="E63" i="8"/>
  <c r="E51" i="8"/>
  <c r="E48" i="8"/>
  <c r="E45" i="8"/>
  <c r="E42" i="8"/>
  <c r="E36" i="8"/>
  <c r="E30" i="8"/>
  <c r="E24" i="8"/>
  <c r="E18" i="8"/>
  <c r="E12" i="8"/>
  <c r="E55" i="7"/>
  <c r="E25" i="7"/>
  <c r="E10" i="7"/>
  <c r="E21" i="6"/>
  <c r="D16" i="7"/>
  <c r="D21" i="6"/>
  <c r="C57" i="8"/>
  <c r="C12" i="8"/>
  <c r="C52" i="7"/>
  <c r="C9" i="6"/>
  <c r="D31" i="7"/>
  <c r="C48" i="8"/>
  <c r="C43" i="7"/>
  <c r="C12" i="6"/>
  <c r="D37" i="7"/>
  <c r="C42" i="8"/>
  <c r="C46" i="7"/>
  <c r="C31" i="7"/>
  <c r="C19" i="7"/>
  <c r="C27" i="6"/>
  <c r="C66" i="8"/>
  <c r="C63" i="8"/>
  <c r="C60" i="8"/>
  <c r="C51" i="8"/>
  <c r="C45" i="8"/>
  <c r="C39" i="8"/>
  <c r="C36" i="8"/>
  <c r="C33" i="8"/>
  <c r="C30" i="8"/>
  <c r="C27" i="8"/>
  <c r="C24" i="8"/>
  <c r="C18" i="8"/>
  <c r="C15" i="8"/>
  <c r="C9" i="8"/>
  <c r="C55" i="7"/>
  <c r="C18" i="6"/>
  <c r="N65" i="1"/>
  <c r="E70" i="7" s="1"/>
  <c r="D34" i="6"/>
  <c r="C34" i="6"/>
  <c r="N64" i="1"/>
  <c r="E69" i="7" s="1"/>
  <c r="F124" i="8"/>
  <c r="G124" i="8" s="1"/>
  <c r="F121" i="8"/>
  <c r="G121" i="8" s="1"/>
  <c r="F118" i="8"/>
  <c r="G118" i="8" s="1"/>
  <c r="F115" i="8"/>
  <c r="G115" i="8" s="1"/>
  <c r="F112" i="8"/>
  <c r="G112" i="8" s="1"/>
  <c r="F109" i="8"/>
  <c r="G109" i="8" s="1"/>
  <c r="F106" i="8"/>
  <c r="G106" i="8" s="1"/>
  <c r="F103" i="8"/>
  <c r="G103" i="8" s="1"/>
  <c r="F100" i="8"/>
  <c r="G100" i="8" s="1"/>
  <c r="F97" i="8"/>
  <c r="G97" i="8" s="1"/>
  <c r="F94" i="8"/>
  <c r="G94" i="8" s="1"/>
  <c r="F91" i="8"/>
  <c r="G91" i="8" s="1"/>
  <c r="F88" i="8"/>
  <c r="G88" i="8" s="1"/>
  <c r="F85" i="8"/>
  <c r="G85" i="8" s="1"/>
  <c r="F82" i="8"/>
  <c r="G82" i="8" s="1"/>
  <c r="F79" i="8"/>
  <c r="G79" i="8" s="1"/>
  <c r="F76" i="8"/>
  <c r="G76" i="8" s="1"/>
  <c r="F73" i="8"/>
  <c r="G73" i="8" s="1"/>
  <c r="F70" i="8"/>
  <c r="G70" i="8" s="1"/>
  <c r="F7" i="8"/>
  <c r="G7" i="8" s="1"/>
  <c r="C124" i="8"/>
  <c r="C121" i="8"/>
  <c r="C118" i="8"/>
  <c r="C115" i="8"/>
  <c r="C112" i="8"/>
  <c r="C109" i="8"/>
  <c r="C106" i="8"/>
  <c r="C103" i="8"/>
  <c r="C100" i="8"/>
  <c r="C97" i="8"/>
  <c r="C94" i="8"/>
  <c r="C91" i="8"/>
  <c r="C88" i="8"/>
  <c r="C85" i="8"/>
  <c r="C82" i="8"/>
  <c r="C79" i="8"/>
  <c r="C76" i="8"/>
  <c r="C73" i="8"/>
  <c r="C70" i="8"/>
  <c r="C7" i="8"/>
  <c r="F119" i="8"/>
  <c r="G119" i="8" s="1"/>
  <c r="E124" i="8"/>
  <c r="E121" i="8"/>
  <c r="E118" i="8"/>
  <c r="E115" i="8"/>
  <c r="E112" i="8"/>
  <c r="E109" i="8"/>
  <c r="E106" i="8"/>
  <c r="E103" i="8"/>
  <c r="E100" i="8"/>
  <c r="E97" i="8"/>
  <c r="E94" i="8"/>
  <c r="E91" i="8"/>
  <c r="E88" i="8"/>
  <c r="E85" i="8"/>
  <c r="E82" i="8"/>
  <c r="E79" i="8"/>
  <c r="E76" i="8"/>
  <c r="E73" i="8"/>
  <c r="E70" i="8"/>
  <c r="E7" i="8"/>
  <c r="D124" i="8"/>
  <c r="D121" i="8"/>
  <c r="D118" i="8"/>
  <c r="D115" i="8"/>
  <c r="D112" i="8"/>
  <c r="D109" i="8"/>
  <c r="D106" i="8"/>
  <c r="D103" i="8"/>
  <c r="D100" i="8"/>
  <c r="D97" i="8"/>
  <c r="D94" i="8"/>
  <c r="D91" i="8"/>
  <c r="D88" i="8"/>
  <c r="D85" i="8"/>
  <c r="D82" i="8"/>
  <c r="D79" i="8"/>
  <c r="D76" i="8"/>
  <c r="D73" i="8"/>
  <c r="D70" i="8"/>
  <c r="D7" i="8"/>
  <c r="F123" i="8"/>
  <c r="G123" i="8" s="1"/>
  <c r="F120" i="8"/>
  <c r="G120" i="8" s="1"/>
  <c r="F117" i="8"/>
  <c r="G117" i="8" s="1"/>
  <c r="F114" i="8"/>
  <c r="G114" i="8" s="1"/>
  <c r="F111" i="8"/>
  <c r="G111" i="8" s="1"/>
  <c r="F108" i="8"/>
  <c r="G108" i="8" s="1"/>
  <c r="F105" i="8"/>
  <c r="G105" i="8" s="1"/>
  <c r="F102" i="8"/>
  <c r="G102" i="8" s="1"/>
  <c r="F99" i="8"/>
  <c r="G99" i="8" s="1"/>
  <c r="F96" i="8"/>
  <c r="G96" i="8" s="1"/>
  <c r="F93" i="8"/>
  <c r="G93" i="8" s="1"/>
  <c r="F90" i="8"/>
  <c r="G90" i="8" s="1"/>
  <c r="F87" i="8"/>
  <c r="G87" i="8" s="1"/>
  <c r="F84" i="8"/>
  <c r="G84" i="8" s="1"/>
  <c r="F81" i="8"/>
  <c r="G81" i="8" s="1"/>
  <c r="F78" i="8"/>
  <c r="G78" i="8" s="1"/>
  <c r="F75" i="8"/>
  <c r="G75" i="8" s="1"/>
  <c r="F72" i="8"/>
  <c r="G72" i="8" s="1"/>
  <c r="F69" i="8"/>
  <c r="G69" i="8" s="1"/>
  <c r="E123" i="8"/>
  <c r="E120" i="8"/>
  <c r="E117" i="8"/>
  <c r="E114" i="8"/>
  <c r="E111" i="8"/>
  <c r="E108" i="8"/>
  <c r="E105" i="8"/>
  <c r="E102" i="8"/>
  <c r="E99" i="8"/>
  <c r="E96" i="8"/>
  <c r="E93" i="8"/>
  <c r="E90" i="8"/>
  <c r="E87" i="8"/>
  <c r="E84" i="8"/>
  <c r="E81" i="8"/>
  <c r="E78" i="8"/>
  <c r="E75" i="8"/>
  <c r="E72" i="8"/>
  <c r="E69" i="8"/>
  <c r="D123" i="8"/>
  <c r="D120" i="8"/>
  <c r="D117" i="8"/>
  <c r="D114" i="8"/>
  <c r="D111" i="8"/>
  <c r="D108" i="8"/>
  <c r="D105" i="8"/>
  <c r="D102" i="8"/>
  <c r="D99" i="8"/>
  <c r="D96" i="8"/>
  <c r="D93" i="8"/>
  <c r="D90" i="8"/>
  <c r="D87" i="8"/>
  <c r="D84" i="8"/>
  <c r="D81" i="8"/>
  <c r="D78" i="8"/>
  <c r="D75" i="8"/>
  <c r="D72" i="8"/>
  <c r="D69" i="8"/>
  <c r="C123" i="8"/>
  <c r="C120" i="8"/>
  <c r="C117" i="8"/>
  <c r="C114" i="8"/>
  <c r="C111" i="8"/>
  <c r="C108" i="8"/>
  <c r="C105" i="8"/>
  <c r="C102" i="8"/>
  <c r="C99" i="8"/>
  <c r="C96" i="8"/>
  <c r="C93" i="8"/>
  <c r="C90" i="8"/>
  <c r="C87" i="8"/>
  <c r="C84" i="8"/>
  <c r="C81" i="8"/>
  <c r="C78" i="8"/>
  <c r="C75" i="8"/>
  <c r="C72" i="8"/>
  <c r="C69" i="8"/>
  <c r="F122" i="8"/>
  <c r="G122" i="8" s="1"/>
  <c r="F116" i="8"/>
  <c r="G116" i="8" s="1"/>
  <c r="F113" i="8"/>
  <c r="G113" i="8" s="1"/>
  <c r="F110" i="8"/>
  <c r="G110" i="8" s="1"/>
  <c r="F107" i="8"/>
  <c r="G107" i="8" s="1"/>
  <c r="F104" i="8"/>
  <c r="G104" i="8" s="1"/>
  <c r="F101" i="8"/>
  <c r="G101" i="8" s="1"/>
  <c r="F98" i="8"/>
  <c r="G98" i="8" s="1"/>
  <c r="F95" i="8"/>
  <c r="G95" i="8" s="1"/>
  <c r="E122" i="8"/>
  <c r="E110" i="8"/>
  <c r="E98" i="8"/>
  <c r="D89" i="8"/>
  <c r="D80" i="8"/>
  <c r="D71" i="8"/>
  <c r="D122" i="8"/>
  <c r="D110" i="8"/>
  <c r="D98" i="8"/>
  <c r="C89" i="8"/>
  <c r="C80" i="8"/>
  <c r="C71" i="8"/>
  <c r="C122" i="8"/>
  <c r="C110" i="8"/>
  <c r="C98" i="8"/>
  <c r="F86" i="8"/>
  <c r="G86" i="8" s="1"/>
  <c r="F77" i="8"/>
  <c r="G77" i="8" s="1"/>
  <c r="E119" i="8"/>
  <c r="E107" i="8"/>
  <c r="E95" i="8"/>
  <c r="E86" i="8"/>
  <c r="E77" i="8"/>
  <c r="D119" i="8"/>
  <c r="D107" i="8"/>
  <c r="D95" i="8"/>
  <c r="D86" i="8"/>
  <c r="D77" i="8"/>
  <c r="C119" i="8"/>
  <c r="C107" i="8"/>
  <c r="C95" i="8"/>
  <c r="C86" i="8"/>
  <c r="C77" i="8"/>
  <c r="E116" i="8"/>
  <c r="E104" i="8"/>
  <c r="F92" i="8"/>
  <c r="G92" i="8" s="1"/>
  <c r="F83" i="8"/>
  <c r="G83" i="8" s="1"/>
  <c r="F74" i="8"/>
  <c r="G74" i="8" s="1"/>
  <c r="D116" i="8"/>
  <c r="D104" i="8"/>
  <c r="E92" i="8"/>
  <c r="E83" i="8"/>
  <c r="E74" i="8"/>
  <c r="C116" i="8"/>
  <c r="C104" i="8"/>
  <c r="D92" i="8"/>
  <c r="D83" i="8"/>
  <c r="D74" i="8"/>
  <c r="E113" i="8"/>
  <c r="E101" i="8"/>
  <c r="C92" i="8"/>
  <c r="C83" i="8"/>
  <c r="C74" i="8"/>
  <c r="D113" i="8"/>
  <c r="D101" i="8"/>
  <c r="F89" i="8"/>
  <c r="G89" i="8" s="1"/>
  <c r="F80" i="8"/>
  <c r="G80" i="8" s="1"/>
  <c r="F71" i="8"/>
  <c r="G71" i="8" s="1"/>
  <c r="C113" i="8"/>
  <c r="C101" i="8"/>
  <c r="E89" i="8"/>
  <c r="E80" i="8"/>
  <c r="E71" i="8"/>
  <c r="N54" i="1"/>
  <c r="E59" i="7" s="1"/>
  <c r="E7" i="5"/>
  <c r="D7" i="5"/>
  <c r="C7" i="5"/>
  <c r="F7" i="5"/>
  <c r="G7" i="5" s="1"/>
  <c r="N52" i="1"/>
  <c r="E57" i="8" s="1"/>
  <c r="C123" i="7"/>
  <c r="C120" i="7"/>
  <c r="C117" i="7"/>
  <c r="C114" i="7"/>
  <c r="C111" i="7"/>
  <c r="C108" i="7"/>
  <c r="C105" i="7"/>
  <c r="C102" i="7"/>
  <c r="C99" i="7"/>
  <c r="C96" i="7"/>
  <c r="C93" i="7"/>
  <c r="C90" i="7"/>
  <c r="C87" i="7"/>
  <c r="C84" i="7"/>
  <c r="C81" i="7"/>
  <c r="C78" i="7"/>
  <c r="C75" i="7"/>
  <c r="C72" i="7"/>
  <c r="C69" i="7"/>
  <c r="C66" i="7"/>
  <c r="C63" i="7"/>
  <c r="C60" i="7"/>
  <c r="C57" i="7"/>
  <c r="D111" i="7"/>
  <c r="D87" i="7"/>
  <c r="D81" i="7"/>
  <c r="D69" i="7"/>
  <c r="D57" i="7"/>
  <c r="F122" i="7"/>
  <c r="G122" i="7" s="1"/>
  <c r="F119" i="7"/>
  <c r="G119" i="7" s="1"/>
  <c r="F116" i="7"/>
  <c r="G116" i="7" s="1"/>
  <c r="F113" i="7"/>
  <c r="G113" i="7" s="1"/>
  <c r="F110" i="7"/>
  <c r="G110" i="7" s="1"/>
  <c r="F107" i="7"/>
  <c r="G107" i="7" s="1"/>
  <c r="F104" i="7"/>
  <c r="G104" i="7" s="1"/>
  <c r="F101" i="7"/>
  <c r="G101" i="7" s="1"/>
  <c r="F98" i="7"/>
  <c r="G98" i="7" s="1"/>
  <c r="F95" i="7"/>
  <c r="G95" i="7" s="1"/>
  <c r="F92" i="7"/>
  <c r="G92" i="7" s="1"/>
  <c r="F89" i="7"/>
  <c r="G89" i="7" s="1"/>
  <c r="F86" i="7"/>
  <c r="G86" i="7" s="1"/>
  <c r="F83" i="7"/>
  <c r="G83" i="7" s="1"/>
  <c r="F80" i="7"/>
  <c r="G80" i="7" s="1"/>
  <c r="F77" i="7"/>
  <c r="G77" i="7" s="1"/>
  <c r="F74" i="7"/>
  <c r="G74" i="7" s="1"/>
  <c r="F71" i="7"/>
  <c r="G71" i="7" s="1"/>
  <c r="F68" i="7"/>
  <c r="G68" i="7" s="1"/>
  <c r="F65" i="7"/>
  <c r="G65" i="7" s="1"/>
  <c r="F62" i="7"/>
  <c r="G62" i="7" s="1"/>
  <c r="F59" i="7"/>
  <c r="G59" i="7" s="1"/>
  <c r="D108" i="7"/>
  <c r="D63" i="7"/>
  <c r="E122" i="7"/>
  <c r="E119" i="7"/>
  <c r="E116" i="7"/>
  <c r="E113" i="7"/>
  <c r="E110" i="7"/>
  <c r="E107" i="7"/>
  <c r="E104" i="7"/>
  <c r="E101" i="7"/>
  <c r="E98" i="7"/>
  <c r="E95" i="7"/>
  <c r="E92" i="7"/>
  <c r="E89" i="7"/>
  <c r="E86" i="7"/>
  <c r="E83" i="7"/>
  <c r="E80" i="7"/>
  <c r="E77" i="7"/>
  <c r="E74" i="7"/>
  <c r="E71" i="7"/>
  <c r="E68" i="7"/>
  <c r="E65" i="7"/>
  <c r="E62" i="7"/>
  <c r="D105" i="7"/>
  <c r="D122" i="7"/>
  <c r="D119" i="7"/>
  <c r="D116" i="7"/>
  <c r="D113" i="7"/>
  <c r="D110" i="7"/>
  <c r="D107" i="7"/>
  <c r="D104" i="7"/>
  <c r="D101" i="7"/>
  <c r="D98" i="7"/>
  <c r="D95" i="7"/>
  <c r="D92" i="7"/>
  <c r="D89" i="7"/>
  <c r="D86" i="7"/>
  <c r="D83" i="7"/>
  <c r="D80" i="7"/>
  <c r="D77" i="7"/>
  <c r="D74" i="7"/>
  <c r="D71" i="7"/>
  <c r="D68" i="7"/>
  <c r="D65" i="7"/>
  <c r="D62" i="7"/>
  <c r="D59" i="7"/>
  <c r="D117" i="7"/>
  <c r="C122" i="7"/>
  <c r="C119" i="7"/>
  <c r="C116" i="7"/>
  <c r="C113" i="7"/>
  <c r="C110" i="7"/>
  <c r="C107" i="7"/>
  <c r="C104" i="7"/>
  <c r="C101" i="7"/>
  <c r="C98" i="7"/>
  <c r="C95" i="7"/>
  <c r="C92" i="7"/>
  <c r="C89" i="7"/>
  <c r="C86" i="7"/>
  <c r="C83" i="7"/>
  <c r="C80" i="7"/>
  <c r="C77" i="7"/>
  <c r="C74" i="7"/>
  <c r="C71" i="7"/>
  <c r="C68" i="7"/>
  <c r="C65" i="7"/>
  <c r="C62" i="7"/>
  <c r="C59" i="7"/>
  <c r="D114" i="7"/>
  <c r="D66" i="7"/>
  <c r="F124" i="7"/>
  <c r="G124" i="7" s="1"/>
  <c r="F121" i="7"/>
  <c r="G121" i="7" s="1"/>
  <c r="F118" i="7"/>
  <c r="G118" i="7" s="1"/>
  <c r="F115" i="7"/>
  <c r="G115" i="7" s="1"/>
  <c r="F112" i="7"/>
  <c r="G112" i="7" s="1"/>
  <c r="F109" i="7"/>
  <c r="G109" i="7" s="1"/>
  <c r="F106" i="7"/>
  <c r="G106" i="7" s="1"/>
  <c r="F103" i="7"/>
  <c r="G103" i="7" s="1"/>
  <c r="F100" i="7"/>
  <c r="G100" i="7" s="1"/>
  <c r="F97" i="7"/>
  <c r="G97" i="7" s="1"/>
  <c r="F94" i="7"/>
  <c r="G94" i="7" s="1"/>
  <c r="F91" i="7"/>
  <c r="G91" i="7" s="1"/>
  <c r="F88" i="7"/>
  <c r="G88" i="7" s="1"/>
  <c r="F85" i="7"/>
  <c r="G85" i="7" s="1"/>
  <c r="F82" i="7"/>
  <c r="G82" i="7" s="1"/>
  <c r="F79" i="7"/>
  <c r="G79" i="7" s="1"/>
  <c r="F76" i="7"/>
  <c r="G76" i="7" s="1"/>
  <c r="F73" i="7"/>
  <c r="G73" i="7" s="1"/>
  <c r="F70" i="7"/>
  <c r="G70" i="7" s="1"/>
  <c r="F67" i="7"/>
  <c r="G67" i="7" s="1"/>
  <c r="F64" i="7"/>
  <c r="G64" i="7" s="1"/>
  <c r="F61" i="7"/>
  <c r="G61" i="7" s="1"/>
  <c r="F58" i="7"/>
  <c r="G58" i="7" s="1"/>
  <c r="F7" i="7"/>
  <c r="G7" i="7" s="1"/>
  <c r="D96" i="7"/>
  <c r="D75" i="7"/>
  <c r="E124" i="7"/>
  <c r="E121" i="7"/>
  <c r="E118" i="7"/>
  <c r="E115" i="7"/>
  <c r="E112" i="7"/>
  <c r="E109" i="7"/>
  <c r="E106" i="7"/>
  <c r="E103" i="7"/>
  <c r="E100" i="7"/>
  <c r="E97" i="7"/>
  <c r="E94" i="7"/>
  <c r="E91" i="7"/>
  <c r="E88" i="7"/>
  <c r="E85" i="7"/>
  <c r="E82" i="7"/>
  <c r="E79" i="7"/>
  <c r="E76" i="7"/>
  <c r="E73" i="7"/>
  <c r="E67" i="7"/>
  <c r="E64" i="7"/>
  <c r="E61" i="7"/>
  <c r="E58" i="7"/>
  <c r="E7" i="7"/>
  <c r="D93" i="7"/>
  <c r="D124" i="7"/>
  <c r="D121" i="7"/>
  <c r="D118" i="7"/>
  <c r="D115" i="7"/>
  <c r="D112" i="7"/>
  <c r="D109" i="7"/>
  <c r="D106" i="7"/>
  <c r="D103" i="7"/>
  <c r="D100" i="7"/>
  <c r="D97" i="7"/>
  <c r="D94" i="7"/>
  <c r="D91" i="7"/>
  <c r="D88" i="7"/>
  <c r="D85" i="7"/>
  <c r="D82" i="7"/>
  <c r="D79" i="7"/>
  <c r="D76" i="7"/>
  <c r="D73" i="7"/>
  <c r="D70" i="7"/>
  <c r="D67" i="7"/>
  <c r="D64" i="7"/>
  <c r="D61" i="7"/>
  <c r="D58" i="7"/>
  <c r="D7" i="7"/>
  <c r="C58" i="7"/>
  <c r="C7" i="7"/>
  <c r="D123" i="7"/>
  <c r="D99" i="7"/>
  <c r="D90" i="7"/>
  <c r="D84" i="7"/>
  <c r="D78" i="7"/>
  <c r="D60" i="7"/>
  <c r="C124" i="7"/>
  <c r="C121" i="7"/>
  <c r="C118" i="7"/>
  <c r="C115" i="7"/>
  <c r="C112" i="7"/>
  <c r="C109" i="7"/>
  <c r="C106" i="7"/>
  <c r="C103" i="7"/>
  <c r="C100" i="7"/>
  <c r="C97" i="7"/>
  <c r="C94" i="7"/>
  <c r="C91" i="7"/>
  <c r="C88" i="7"/>
  <c r="C85" i="7"/>
  <c r="C82" i="7"/>
  <c r="C79" i="7"/>
  <c r="C76" i="7"/>
  <c r="C73" i="7"/>
  <c r="C70" i="7"/>
  <c r="C67" i="7"/>
  <c r="C64" i="7"/>
  <c r="C61" i="7"/>
  <c r="F123" i="7"/>
  <c r="G123" i="7" s="1"/>
  <c r="F120" i="7"/>
  <c r="G120" i="7" s="1"/>
  <c r="F117" i="7"/>
  <c r="G117" i="7" s="1"/>
  <c r="F114" i="7"/>
  <c r="G114" i="7" s="1"/>
  <c r="F111" i="7"/>
  <c r="G111" i="7" s="1"/>
  <c r="F108" i="7"/>
  <c r="G108" i="7" s="1"/>
  <c r="F105" i="7"/>
  <c r="G105" i="7" s="1"/>
  <c r="F102" i="7"/>
  <c r="G102" i="7" s="1"/>
  <c r="F99" i="7"/>
  <c r="G99" i="7" s="1"/>
  <c r="F96" i="7"/>
  <c r="G96" i="7" s="1"/>
  <c r="F93" i="7"/>
  <c r="G93" i="7" s="1"/>
  <c r="F90" i="7"/>
  <c r="G90" i="7" s="1"/>
  <c r="F87" i="7"/>
  <c r="G87" i="7" s="1"/>
  <c r="F84" i="7"/>
  <c r="G84" i="7" s="1"/>
  <c r="F81" i="7"/>
  <c r="G81" i="7" s="1"/>
  <c r="F78" i="7"/>
  <c r="G78" i="7" s="1"/>
  <c r="F75" i="7"/>
  <c r="G75" i="7" s="1"/>
  <c r="F72" i="7"/>
  <c r="G72" i="7" s="1"/>
  <c r="F69" i="7"/>
  <c r="G69" i="7" s="1"/>
  <c r="F66" i="7"/>
  <c r="G66" i="7" s="1"/>
  <c r="F63" i="7"/>
  <c r="G63" i="7" s="1"/>
  <c r="F60" i="7"/>
  <c r="G60" i="7" s="1"/>
  <c r="F57" i="7"/>
  <c r="G57" i="7" s="1"/>
  <c r="D120" i="7"/>
  <c r="D72" i="7"/>
  <c r="E123" i="7"/>
  <c r="E120" i="7"/>
  <c r="E117" i="7"/>
  <c r="E114" i="7"/>
  <c r="E111" i="7"/>
  <c r="E108" i="7"/>
  <c r="E105" i="7"/>
  <c r="E102" i="7"/>
  <c r="E99" i="7"/>
  <c r="E96" i="7"/>
  <c r="E93" i="7"/>
  <c r="E90" i="7"/>
  <c r="E87" i="7"/>
  <c r="E84" i="7"/>
  <c r="E81" i="7"/>
  <c r="E78" i="7"/>
  <c r="E75" i="7"/>
  <c r="E72" i="7"/>
  <c r="E66" i="7"/>
  <c r="E63" i="7"/>
  <c r="E60" i="7"/>
  <c r="D102" i="7"/>
  <c r="N51" i="1"/>
  <c r="E56" i="8" s="1"/>
  <c r="E8" i="5"/>
  <c r="E32" i="5"/>
  <c r="E44" i="5"/>
  <c r="E68" i="5"/>
  <c r="E80" i="5"/>
  <c r="E92" i="5"/>
  <c r="E104" i="5"/>
  <c r="E116" i="5"/>
  <c r="D10" i="5"/>
  <c r="D22" i="5"/>
  <c r="D34" i="5"/>
  <c r="D46" i="5"/>
  <c r="D58" i="5"/>
  <c r="D70" i="5"/>
  <c r="D82" i="5"/>
  <c r="D94" i="5"/>
  <c r="D106" i="5"/>
  <c r="D118" i="5"/>
  <c r="C27" i="5"/>
  <c r="C39" i="5"/>
  <c r="C51" i="5"/>
  <c r="C63" i="5"/>
  <c r="C75" i="5"/>
  <c r="C87" i="5"/>
  <c r="C99" i="5"/>
  <c r="C111" i="5"/>
  <c r="C123" i="5"/>
  <c r="C18" i="5"/>
  <c r="D123" i="6"/>
  <c r="D120" i="6"/>
  <c r="D117" i="6"/>
  <c r="D114" i="6"/>
  <c r="D111" i="6"/>
  <c r="D108" i="6"/>
  <c r="D105" i="6"/>
  <c r="D102" i="6"/>
  <c r="D99" i="6"/>
  <c r="D96" i="6"/>
  <c r="D93" i="6"/>
  <c r="D90" i="6"/>
  <c r="D87" i="6"/>
  <c r="D84" i="6"/>
  <c r="D81" i="6"/>
  <c r="D78" i="6"/>
  <c r="D75" i="6"/>
  <c r="D72" i="6"/>
  <c r="D69" i="6"/>
  <c r="D66" i="6"/>
  <c r="D63" i="6"/>
  <c r="D60" i="6"/>
  <c r="D57" i="6"/>
  <c r="D54" i="6"/>
  <c r="D51" i="6"/>
  <c r="D48" i="6"/>
  <c r="D45" i="6"/>
  <c r="D42" i="6"/>
  <c r="E9" i="5"/>
  <c r="E21" i="5"/>
  <c r="E33" i="5"/>
  <c r="E45" i="5"/>
  <c r="E81" i="5"/>
  <c r="E93" i="5"/>
  <c r="E105" i="5"/>
  <c r="E117" i="5"/>
  <c r="D11" i="5"/>
  <c r="D23" i="5"/>
  <c r="D35" i="5"/>
  <c r="D47" i="5"/>
  <c r="D59" i="5"/>
  <c r="D71" i="5"/>
  <c r="D83" i="5"/>
  <c r="D95" i="5"/>
  <c r="D107" i="5"/>
  <c r="D119" i="5"/>
  <c r="C28" i="5"/>
  <c r="C40" i="5"/>
  <c r="C52" i="5"/>
  <c r="C64" i="5"/>
  <c r="C76" i="5"/>
  <c r="C88" i="5"/>
  <c r="C100" i="5"/>
  <c r="C112" i="5"/>
  <c r="C124" i="5"/>
  <c r="C19" i="5"/>
  <c r="C123" i="6"/>
  <c r="C120" i="6"/>
  <c r="C117" i="6"/>
  <c r="C114" i="6"/>
  <c r="C111" i="6"/>
  <c r="C108" i="6"/>
  <c r="C105" i="6"/>
  <c r="C102" i="6"/>
  <c r="C99" i="6"/>
  <c r="C96" i="6"/>
  <c r="C93" i="6"/>
  <c r="C90" i="6"/>
  <c r="C87" i="6"/>
  <c r="C84" i="6"/>
  <c r="C81" i="6"/>
  <c r="C78" i="6"/>
  <c r="C75" i="6"/>
  <c r="C72" i="6"/>
  <c r="C69" i="6"/>
  <c r="C66" i="6"/>
  <c r="C63" i="6"/>
  <c r="C60" i="6"/>
  <c r="C57" i="6"/>
  <c r="C54" i="6"/>
  <c r="C51" i="6"/>
  <c r="C48" i="6"/>
  <c r="C45" i="6"/>
  <c r="C42" i="6"/>
  <c r="C39" i="6"/>
  <c r="C36" i="6"/>
  <c r="C33" i="6"/>
  <c r="C30" i="6"/>
  <c r="F24" i="5"/>
  <c r="G24" i="5" s="1"/>
  <c r="F12" i="5"/>
  <c r="G12" i="5" s="1"/>
  <c r="C113" i="5"/>
  <c r="F119" i="6"/>
  <c r="G119" i="6" s="1"/>
  <c r="F113" i="6"/>
  <c r="G113" i="6" s="1"/>
  <c r="F107" i="6"/>
  <c r="G107" i="6" s="1"/>
  <c r="F101" i="6"/>
  <c r="G101" i="6" s="1"/>
  <c r="F95" i="6"/>
  <c r="G95" i="6" s="1"/>
  <c r="F89" i="6"/>
  <c r="G89" i="6" s="1"/>
  <c r="F83" i="6"/>
  <c r="G83" i="6" s="1"/>
  <c r="F77" i="6"/>
  <c r="G77" i="6" s="1"/>
  <c r="F71" i="6"/>
  <c r="G71" i="6" s="1"/>
  <c r="F65" i="6"/>
  <c r="G65" i="6" s="1"/>
  <c r="F59" i="6"/>
  <c r="G59" i="6" s="1"/>
  <c r="F53" i="6"/>
  <c r="G53" i="6" s="1"/>
  <c r="F47" i="6"/>
  <c r="G47" i="6" s="1"/>
  <c r="E10" i="5"/>
  <c r="E22" i="5"/>
  <c r="E46" i="5"/>
  <c r="E58" i="5"/>
  <c r="E82" i="5"/>
  <c r="E94" i="5"/>
  <c r="E106" i="5"/>
  <c r="E118" i="5"/>
  <c r="D12" i="5"/>
  <c r="D24" i="5"/>
  <c r="D36" i="5"/>
  <c r="D48" i="5"/>
  <c r="D60" i="5"/>
  <c r="D72" i="5"/>
  <c r="D84" i="5"/>
  <c r="D96" i="5"/>
  <c r="D108" i="5"/>
  <c r="D120" i="5"/>
  <c r="C29" i="5"/>
  <c r="C41" i="5"/>
  <c r="C53" i="5"/>
  <c r="C65" i="5"/>
  <c r="C77" i="5"/>
  <c r="C89" i="5"/>
  <c r="C101" i="5"/>
  <c r="C8" i="5"/>
  <c r="C20" i="5"/>
  <c r="F122" i="6"/>
  <c r="G122" i="6" s="1"/>
  <c r="F116" i="6"/>
  <c r="G116" i="6" s="1"/>
  <c r="F110" i="6"/>
  <c r="G110" i="6" s="1"/>
  <c r="F104" i="6"/>
  <c r="G104" i="6" s="1"/>
  <c r="F98" i="6"/>
  <c r="G98" i="6" s="1"/>
  <c r="F92" i="6"/>
  <c r="G92" i="6" s="1"/>
  <c r="F86" i="6"/>
  <c r="G86" i="6" s="1"/>
  <c r="F80" i="6"/>
  <c r="G80" i="6" s="1"/>
  <c r="F74" i="6"/>
  <c r="G74" i="6" s="1"/>
  <c r="F68" i="6"/>
  <c r="G68" i="6" s="1"/>
  <c r="F62" i="6"/>
  <c r="G62" i="6" s="1"/>
  <c r="F56" i="6"/>
  <c r="G56" i="6" s="1"/>
  <c r="F50" i="6"/>
  <c r="G50" i="6" s="1"/>
  <c r="E11" i="5"/>
  <c r="E23" i="5"/>
  <c r="E35" i="5"/>
  <c r="E47" i="5"/>
  <c r="E71" i="5"/>
  <c r="E83" i="5"/>
  <c r="E95" i="5"/>
  <c r="E107" i="5"/>
  <c r="E119" i="5"/>
  <c r="D13" i="5"/>
  <c r="D25" i="5"/>
  <c r="D37" i="5"/>
  <c r="D49" i="5"/>
  <c r="D61" i="5"/>
  <c r="D73" i="5"/>
  <c r="D85" i="5"/>
  <c r="D97" i="5"/>
  <c r="D109" i="5"/>
  <c r="D121" i="5"/>
  <c r="C30" i="5"/>
  <c r="C42" i="5"/>
  <c r="C54" i="5"/>
  <c r="C66" i="5"/>
  <c r="C78" i="5"/>
  <c r="C90" i="5"/>
  <c r="C102" i="5"/>
  <c r="C114" i="5"/>
  <c r="C9" i="5"/>
  <c r="C21" i="5"/>
  <c r="E122" i="6"/>
  <c r="E119" i="6"/>
  <c r="E116" i="6"/>
  <c r="E113" i="6"/>
  <c r="E110" i="6"/>
  <c r="E107" i="6"/>
  <c r="E104" i="6"/>
  <c r="E101" i="6"/>
  <c r="E98" i="6"/>
  <c r="E95" i="6"/>
  <c r="E92" i="6"/>
  <c r="E89" i="6"/>
  <c r="E86" i="6"/>
  <c r="E83" i="6"/>
  <c r="E80" i="6"/>
  <c r="E77" i="6"/>
  <c r="E74" i="6"/>
  <c r="E71" i="6"/>
  <c r="E68" i="6"/>
  <c r="E65" i="6"/>
  <c r="E62" i="6"/>
  <c r="E53" i="6"/>
  <c r="E50" i="6"/>
  <c r="E47" i="6"/>
  <c r="E44" i="6"/>
  <c r="E41" i="6"/>
  <c r="E38" i="6"/>
  <c r="E12" i="5"/>
  <c r="E24" i="5"/>
  <c r="E36" i="5"/>
  <c r="E48" i="5"/>
  <c r="E60" i="5"/>
  <c r="E72" i="5"/>
  <c r="E84" i="5"/>
  <c r="E96" i="5"/>
  <c r="E108" i="5"/>
  <c r="E120" i="5"/>
  <c r="D14" i="5"/>
  <c r="D26" i="5"/>
  <c r="D38" i="5"/>
  <c r="D50" i="5"/>
  <c r="D62" i="5"/>
  <c r="D74" i="5"/>
  <c r="D86" i="5"/>
  <c r="D98" i="5"/>
  <c r="D110" i="5"/>
  <c r="D122" i="5"/>
  <c r="C31" i="5"/>
  <c r="C43" i="5"/>
  <c r="C55" i="5"/>
  <c r="C67" i="5"/>
  <c r="C79" i="5"/>
  <c r="C91" i="5"/>
  <c r="C103" i="5"/>
  <c r="C115" i="5"/>
  <c r="C10" i="5"/>
  <c r="C22" i="5"/>
  <c r="D122" i="6"/>
  <c r="D119" i="6"/>
  <c r="D116" i="6"/>
  <c r="D113" i="6"/>
  <c r="D110" i="6"/>
  <c r="D107" i="6"/>
  <c r="D104" i="6"/>
  <c r="D101" i="6"/>
  <c r="D98" i="6"/>
  <c r="D95" i="6"/>
  <c r="D92" i="6"/>
  <c r="D89" i="6"/>
  <c r="D86" i="6"/>
  <c r="D83" i="6"/>
  <c r="D80" i="6"/>
  <c r="D77" i="6"/>
  <c r="D74" i="6"/>
  <c r="D71" i="6"/>
  <c r="D68" i="6"/>
  <c r="D65" i="6"/>
  <c r="D62" i="6"/>
  <c r="D59" i="6"/>
  <c r="D56" i="6"/>
  <c r="D53" i="6"/>
  <c r="D50" i="6"/>
  <c r="D47" i="6"/>
  <c r="D44" i="6"/>
  <c r="D41" i="6"/>
  <c r="D38" i="6"/>
  <c r="D35" i="6"/>
  <c r="D32" i="6"/>
  <c r="D29" i="6"/>
  <c r="E13" i="5"/>
  <c r="E25" i="5"/>
  <c r="E49" i="5"/>
  <c r="E61" i="5"/>
  <c r="E73" i="5"/>
  <c r="E85" i="5"/>
  <c r="E97" i="5"/>
  <c r="E109" i="5"/>
  <c r="E121" i="5"/>
  <c r="D15" i="5"/>
  <c r="D27" i="5"/>
  <c r="D39" i="5"/>
  <c r="D51" i="5"/>
  <c r="D63" i="5"/>
  <c r="D75" i="5"/>
  <c r="D87" i="5"/>
  <c r="D99" i="5"/>
  <c r="D111" i="5"/>
  <c r="D123" i="5"/>
  <c r="C32" i="5"/>
  <c r="C44" i="5"/>
  <c r="C56" i="5"/>
  <c r="C68" i="5"/>
  <c r="C80" i="5"/>
  <c r="C92" i="5"/>
  <c r="C104" i="5"/>
  <c r="C116" i="5"/>
  <c r="C11" i="5"/>
  <c r="C122" i="6"/>
  <c r="C119" i="6"/>
  <c r="C116" i="6"/>
  <c r="C113" i="6"/>
  <c r="C110" i="6"/>
  <c r="C107" i="6"/>
  <c r="C104" i="6"/>
  <c r="C101" i="6"/>
  <c r="C98" i="6"/>
  <c r="C95" i="6"/>
  <c r="C92" i="6"/>
  <c r="C89" i="6"/>
  <c r="C86" i="6"/>
  <c r="C83" i="6"/>
  <c r="C80" i="6"/>
  <c r="C77" i="6"/>
  <c r="C74" i="6"/>
  <c r="C71" i="6"/>
  <c r="C68" i="6"/>
  <c r="C65" i="6"/>
  <c r="C62" i="6"/>
  <c r="C59" i="6"/>
  <c r="C56" i="6"/>
  <c r="C53" i="6"/>
  <c r="E14" i="5"/>
  <c r="E26" i="5"/>
  <c r="E38" i="5"/>
  <c r="E50" i="5"/>
  <c r="E62" i="5"/>
  <c r="E74" i="5"/>
  <c r="E86" i="5"/>
  <c r="E98" i="5"/>
  <c r="E110" i="5"/>
  <c r="E122" i="5"/>
  <c r="D16" i="5"/>
  <c r="D28" i="5"/>
  <c r="D40" i="5"/>
  <c r="D52" i="5"/>
  <c r="D64" i="5"/>
  <c r="D76" i="5"/>
  <c r="D88" i="5"/>
  <c r="D100" i="5"/>
  <c r="D112" i="5"/>
  <c r="D124" i="5"/>
  <c r="C33" i="5"/>
  <c r="C45" i="5"/>
  <c r="C57" i="5"/>
  <c r="C69" i="5"/>
  <c r="C81" i="5"/>
  <c r="C93" i="5"/>
  <c r="C105" i="5"/>
  <c r="C117" i="5"/>
  <c r="C12" i="5"/>
  <c r="F124" i="6"/>
  <c r="G124" i="6" s="1"/>
  <c r="F121" i="6"/>
  <c r="G121" i="6" s="1"/>
  <c r="F118" i="6"/>
  <c r="G118" i="6" s="1"/>
  <c r="F115" i="6"/>
  <c r="G115" i="6" s="1"/>
  <c r="F112" i="6"/>
  <c r="G112" i="6" s="1"/>
  <c r="F109" i="6"/>
  <c r="G109" i="6" s="1"/>
  <c r="F106" i="6"/>
  <c r="G106" i="6" s="1"/>
  <c r="F103" i="6"/>
  <c r="G103" i="6" s="1"/>
  <c r="F100" i="6"/>
  <c r="G100" i="6" s="1"/>
  <c r="F97" i="6"/>
  <c r="G97" i="6" s="1"/>
  <c r="F94" i="6"/>
  <c r="G94" i="6" s="1"/>
  <c r="F91" i="6"/>
  <c r="G91" i="6" s="1"/>
  <c r="F88" i="6"/>
  <c r="G88" i="6" s="1"/>
  <c r="F85" i="6"/>
  <c r="G85" i="6" s="1"/>
  <c r="F82" i="6"/>
  <c r="G82" i="6" s="1"/>
  <c r="F79" i="6"/>
  <c r="G79" i="6" s="1"/>
  <c r="F76" i="6"/>
  <c r="G76" i="6" s="1"/>
  <c r="F73" i="6"/>
  <c r="G73" i="6" s="1"/>
  <c r="F70" i="6"/>
  <c r="G70" i="6" s="1"/>
  <c r="F67" i="6"/>
  <c r="G67" i="6" s="1"/>
  <c r="F64" i="6"/>
  <c r="G64" i="6" s="1"/>
  <c r="F61" i="6"/>
  <c r="G61" i="6" s="1"/>
  <c r="F58" i="6"/>
  <c r="G58" i="6" s="1"/>
  <c r="F55" i="6"/>
  <c r="G55" i="6" s="1"/>
  <c r="F52" i="6"/>
  <c r="G52" i="6" s="1"/>
  <c r="F49" i="6"/>
  <c r="G49" i="6" s="1"/>
  <c r="F46" i="6"/>
  <c r="G46" i="6" s="1"/>
  <c r="F43" i="6"/>
  <c r="G43" i="6" s="1"/>
  <c r="F40" i="6"/>
  <c r="G40" i="6" s="1"/>
  <c r="F37" i="6"/>
  <c r="G37" i="6" s="1"/>
  <c r="F34" i="6"/>
  <c r="G34" i="6" s="1"/>
  <c r="F31" i="6"/>
  <c r="G31" i="6" s="1"/>
  <c r="F28" i="6"/>
  <c r="G28" i="6" s="1"/>
  <c r="F19" i="5"/>
  <c r="G19" i="5" s="1"/>
  <c r="E15" i="5"/>
  <c r="E39" i="5"/>
  <c r="E51" i="5"/>
  <c r="E63" i="5"/>
  <c r="E75" i="5"/>
  <c r="E87" i="5"/>
  <c r="E99" i="5"/>
  <c r="E111" i="5"/>
  <c r="E123" i="5"/>
  <c r="D17" i="5"/>
  <c r="D29" i="5"/>
  <c r="D41" i="5"/>
  <c r="D53" i="5"/>
  <c r="D65" i="5"/>
  <c r="D77" i="5"/>
  <c r="D89" i="5"/>
  <c r="D101" i="5"/>
  <c r="D113" i="5"/>
  <c r="C34" i="5"/>
  <c r="C46" i="5"/>
  <c r="C58" i="5"/>
  <c r="C70" i="5"/>
  <c r="C82" i="5"/>
  <c r="C94" i="5"/>
  <c r="C106" i="5"/>
  <c r="C118" i="5"/>
  <c r="C13" i="5"/>
  <c r="E124" i="6"/>
  <c r="E121" i="6"/>
  <c r="E118" i="6"/>
  <c r="E115" i="6"/>
  <c r="E112" i="6"/>
  <c r="E109" i="6"/>
  <c r="E106" i="6"/>
  <c r="E103" i="6"/>
  <c r="E100" i="6"/>
  <c r="E97" i="6"/>
  <c r="E94" i="6"/>
  <c r="E91" i="6"/>
  <c r="E88" i="6"/>
  <c r="E85" i="6"/>
  <c r="E82" i="6"/>
  <c r="E79" i="6"/>
  <c r="E76" i="6"/>
  <c r="E73" i="6"/>
  <c r="E67" i="6"/>
  <c r="E64" i="6"/>
  <c r="E61" i="6"/>
  <c r="E58" i="6"/>
  <c r="E55" i="6"/>
  <c r="E49" i="6"/>
  <c r="E46" i="6"/>
  <c r="E43" i="6"/>
  <c r="E40" i="6"/>
  <c r="E34" i="6"/>
  <c r="E31" i="6"/>
  <c r="E28" i="6"/>
  <c r="F18" i="5"/>
  <c r="G18" i="5" s="1"/>
  <c r="E77" i="5"/>
  <c r="D55" i="5"/>
  <c r="D79" i="5"/>
  <c r="D103" i="5"/>
  <c r="C36" i="5"/>
  <c r="C60" i="5"/>
  <c r="C84" i="5"/>
  <c r="C108" i="5"/>
  <c r="C15" i="5"/>
  <c r="C121" i="6"/>
  <c r="C115" i="6"/>
  <c r="C109" i="6"/>
  <c r="E16" i="5"/>
  <c r="E40" i="5"/>
  <c r="E64" i="5"/>
  <c r="E76" i="5"/>
  <c r="E88" i="5"/>
  <c r="E100" i="5"/>
  <c r="E112" i="5"/>
  <c r="E124" i="5"/>
  <c r="D18" i="5"/>
  <c r="D30" i="5"/>
  <c r="D42" i="5"/>
  <c r="D54" i="5"/>
  <c r="D66" i="5"/>
  <c r="D78" i="5"/>
  <c r="D90" i="5"/>
  <c r="D102" i="5"/>
  <c r="D114" i="5"/>
  <c r="C23" i="5"/>
  <c r="C35" i="5"/>
  <c r="C47" i="5"/>
  <c r="C59" i="5"/>
  <c r="C71" i="5"/>
  <c r="C83" i="5"/>
  <c r="C95" i="5"/>
  <c r="C107" i="5"/>
  <c r="C119" i="5"/>
  <c r="C14" i="5"/>
  <c r="D124" i="6"/>
  <c r="D121" i="6"/>
  <c r="D118" i="6"/>
  <c r="D115" i="6"/>
  <c r="D112" i="6"/>
  <c r="D109" i="6"/>
  <c r="D106" i="6"/>
  <c r="D103" i="6"/>
  <c r="D100" i="6"/>
  <c r="D97" i="6"/>
  <c r="D94" i="6"/>
  <c r="D91" i="6"/>
  <c r="D88" i="6"/>
  <c r="D85" i="6"/>
  <c r="D82" i="6"/>
  <c r="D79" i="6"/>
  <c r="D76" i="6"/>
  <c r="D73" i="6"/>
  <c r="D70" i="6"/>
  <c r="D67" i="6"/>
  <c r="D64" i="6"/>
  <c r="D61" i="6"/>
  <c r="D58" i="6"/>
  <c r="D55" i="6"/>
  <c r="D52" i="6"/>
  <c r="D49" i="6"/>
  <c r="D46" i="6"/>
  <c r="D43" i="6"/>
  <c r="D40" i="6"/>
  <c r="D37" i="6"/>
  <c r="D31" i="6"/>
  <c r="D28" i="6"/>
  <c r="F17" i="5"/>
  <c r="G17" i="5" s="1"/>
  <c r="E17" i="5"/>
  <c r="E29" i="5"/>
  <c r="E41" i="5"/>
  <c r="E53" i="5"/>
  <c r="E65" i="5"/>
  <c r="E89" i="5"/>
  <c r="E101" i="5"/>
  <c r="E113" i="5"/>
  <c r="D19" i="5"/>
  <c r="D31" i="5"/>
  <c r="D43" i="5"/>
  <c r="D67" i="5"/>
  <c r="D91" i="5"/>
  <c r="D115" i="5"/>
  <c r="C24" i="5"/>
  <c r="C48" i="5"/>
  <c r="C72" i="5"/>
  <c r="C96" i="5"/>
  <c r="C120" i="5"/>
  <c r="C124" i="6"/>
  <c r="C118" i="6"/>
  <c r="C112" i="6"/>
  <c r="E18" i="5"/>
  <c r="E90" i="5"/>
  <c r="D33" i="5"/>
  <c r="D105" i="5"/>
  <c r="C73" i="5"/>
  <c r="E108" i="6"/>
  <c r="E96" i="6"/>
  <c r="E84" i="6"/>
  <c r="E72" i="6"/>
  <c r="E60" i="6"/>
  <c r="F48" i="6"/>
  <c r="G48" i="6" s="1"/>
  <c r="C41" i="6"/>
  <c r="E35" i="6"/>
  <c r="D30" i="6"/>
  <c r="F16" i="5"/>
  <c r="G16" i="5" s="1"/>
  <c r="C49" i="5"/>
  <c r="F63" i="6"/>
  <c r="G63" i="6" s="1"/>
  <c r="F111" i="6"/>
  <c r="G111" i="6" s="1"/>
  <c r="E36" i="6"/>
  <c r="E19" i="5"/>
  <c r="E91" i="5"/>
  <c r="D44" i="5"/>
  <c r="D116" i="5"/>
  <c r="C74" i="5"/>
  <c r="F123" i="6"/>
  <c r="G123" i="6" s="1"/>
  <c r="C106" i="6"/>
  <c r="C94" i="6"/>
  <c r="C82" i="6"/>
  <c r="C70" i="6"/>
  <c r="C58" i="6"/>
  <c r="E48" i="6"/>
  <c r="C40" i="6"/>
  <c r="C35" i="6"/>
  <c r="F29" i="6"/>
  <c r="G29" i="6" s="1"/>
  <c r="F15" i="5"/>
  <c r="G15" i="5" s="1"/>
  <c r="F120" i="6"/>
  <c r="G120" i="6" s="1"/>
  <c r="E57" i="6"/>
  <c r="F33" i="6"/>
  <c r="G33" i="6" s="1"/>
  <c r="F13" i="5"/>
  <c r="G13" i="5" s="1"/>
  <c r="E33" i="6"/>
  <c r="F99" i="6"/>
  <c r="G99" i="6" s="1"/>
  <c r="F51" i="6"/>
  <c r="G51" i="6" s="1"/>
  <c r="C43" i="6"/>
  <c r="F23" i="5"/>
  <c r="G23" i="5" s="1"/>
  <c r="E63" i="6"/>
  <c r="E30" i="5"/>
  <c r="E102" i="5"/>
  <c r="D45" i="5"/>
  <c r="D117" i="5"/>
  <c r="C85" i="5"/>
  <c r="E123" i="6"/>
  <c r="F105" i="6"/>
  <c r="G105" i="6" s="1"/>
  <c r="F93" i="6"/>
  <c r="G93" i="6" s="1"/>
  <c r="F81" i="6"/>
  <c r="G81" i="6" s="1"/>
  <c r="F69" i="6"/>
  <c r="G69" i="6" s="1"/>
  <c r="F57" i="6"/>
  <c r="G57" i="6" s="1"/>
  <c r="C47" i="6"/>
  <c r="F39" i="6"/>
  <c r="G39" i="6" s="1"/>
  <c r="E29" i="6"/>
  <c r="F14" i="5"/>
  <c r="G14" i="5" s="1"/>
  <c r="E103" i="5"/>
  <c r="C86" i="5"/>
  <c r="E105" i="6"/>
  <c r="E81" i="6"/>
  <c r="E39" i="6"/>
  <c r="C29" i="6"/>
  <c r="C67" i="6"/>
  <c r="D39" i="6"/>
  <c r="D9" i="5"/>
  <c r="E67" i="5"/>
  <c r="C50" i="5"/>
  <c r="E99" i="6"/>
  <c r="E31" i="5"/>
  <c r="D56" i="5"/>
  <c r="E93" i="6"/>
  <c r="C46" i="6"/>
  <c r="C79" i="6"/>
  <c r="F45" i="6"/>
  <c r="G45" i="6" s="1"/>
  <c r="D81" i="5"/>
  <c r="E87" i="6"/>
  <c r="E42" i="5"/>
  <c r="E114" i="5"/>
  <c r="D57" i="5"/>
  <c r="C25" i="5"/>
  <c r="C97" i="5"/>
  <c r="E120" i="6"/>
  <c r="C103" i="6"/>
  <c r="C91" i="6"/>
  <c r="C55" i="6"/>
  <c r="C28" i="6"/>
  <c r="F11" i="5"/>
  <c r="G11" i="5" s="1"/>
  <c r="E114" i="6"/>
  <c r="C122" i="5"/>
  <c r="F42" i="6"/>
  <c r="G42" i="6" s="1"/>
  <c r="E43" i="5"/>
  <c r="E115" i="5"/>
  <c r="D68" i="5"/>
  <c r="C26" i="5"/>
  <c r="C98" i="5"/>
  <c r="F117" i="6"/>
  <c r="G117" i="6" s="1"/>
  <c r="F102" i="6"/>
  <c r="G102" i="6" s="1"/>
  <c r="F90" i="6"/>
  <c r="G90" i="6" s="1"/>
  <c r="F78" i="6"/>
  <c r="G78" i="6" s="1"/>
  <c r="F66" i="6"/>
  <c r="G66" i="6" s="1"/>
  <c r="F54" i="6"/>
  <c r="G54" i="6" s="1"/>
  <c r="E45" i="6"/>
  <c r="F38" i="6"/>
  <c r="G38" i="6" s="1"/>
  <c r="D33" i="6"/>
  <c r="F27" i="5"/>
  <c r="G27" i="5" s="1"/>
  <c r="F10" i="5"/>
  <c r="G10" i="5" s="1"/>
  <c r="F25" i="5"/>
  <c r="G25" i="5" s="1"/>
  <c r="E66" i="5"/>
  <c r="F87" i="6"/>
  <c r="G87" i="6" s="1"/>
  <c r="C32" i="6"/>
  <c r="E54" i="5"/>
  <c r="D69" i="5"/>
  <c r="C37" i="5"/>
  <c r="C109" i="5"/>
  <c r="E117" i="6"/>
  <c r="E102" i="6"/>
  <c r="E90" i="6"/>
  <c r="E78" i="6"/>
  <c r="E66" i="6"/>
  <c r="E54" i="6"/>
  <c r="F44" i="6"/>
  <c r="G44" i="6" s="1"/>
  <c r="C38" i="6"/>
  <c r="F32" i="6"/>
  <c r="G32" i="6" s="1"/>
  <c r="F26" i="5"/>
  <c r="G26" i="5" s="1"/>
  <c r="F9" i="5"/>
  <c r="G9" i="5" s="1"/>
  <c r="E55" i="5"/>
  <c r="D8" i="5"/>
  <c r="D80" i="5"/>
  <c r="C38" i="5"/>
  <c r="C110" i="5"/>
  <c r="F114" i="6"/>
  <c r="G114" i="6" s="1"/>
  <c r="C100" i="6"/>
  <c r="C88" i="6"/>
  <c r="C76" i="6"/>
  <c r="C64" i="6"/>
  <c r="C52" i="6"/>
  <c r="C44" i="6"/>
  <c r="C37" i="6"/>
  <c r="E32" i="6"/>
  <c r="F8" i="5"/>
  <c r="G8" i="5" s="1"/>
  <c r="C121" i="5"/>
  <c r="F75" i="6"/>
  <c r="G75" i="6" s="1"/>
  <c r="C31" i="6"/>
  <c r="E78" i="5"/>
  <c r="D21" i="5"/>
  <c r="D93" i="5"/>
  <c r="C61" i="5"/>
  <c r="C16" i="5"/>
  <c r="E111" i="6"/>
  <c r="C97" i="6"/>
  <c r="C85" i="6"/>
  <c r="C73" i="6"/>
  <c r="C61" i="6"/>
  <c r="C50" i="6"/>
  <c r="E42" i="6"/>
  <c r="F30" i="6"/>
  <c r="G30" i="6" s="1"/>
  <c r="F21" i="5"/>
  <c r="G21" i="5" s="1"/>
  <c r="E79" i="5"/>
  <c r="D32" i="5"/>
  <c r="D104" i="5"/>
  <c r="C62" i="5"/>
  <c r="C17" i="5"/>
  <c r="F108" i="6"/>
  <c r="G108" i="6" s="1"/>
  <c r="F96" i="6"/>
  <c r="G96" i="6" s="1"/>
  <c r="F84" i="6"/>
  <c r="G84" i="6" s="1"/>
  <c r="F72" i="6"/>
  <c r="G72" i="6" s="1"/>
  <c r="C49" i="6"/>
  <c r="F41" i="6"/>
  <c r="G41" i="6" s="1"/>
  <c r="F35" i="6"/>
  <c r="G35" i="6" s="1"/>
  <c r="E30" i="6"/>
  <c r="F20" i="5"/>
  <c r="G20" i="5" s="1"/>
  <c r="D92" i="5"/>
  <c r="E75" i="6"/>
  <c r="F60" i="6"/>
  <c r="G60" i="6" s="1"/>
  <c r="F36" i="6"/>
  <c r="G36" i="6" s="1"/>
  <c r="D20" i="5"/>
  <c r="E51" i="6"/>
  <c r="F22" i="5"/>
  <c r="G22" i="5" s="1"/>
  <c r="N47" i="1"/>
  <c r="E52" i="7" s="1"/>
  <c r="F124" i="5"/>
  <c r="G124" i="5" s="1"/>
  <c r="F121" i="5"/>
  <c r="G121" i="5" s="1"/>
  <c r="F118" i="5"/>
  <c r="G118" i="5" s="1"/>
  <c r="F115" i="5"/>
  <c r="G115" i="5" s="1"/>
  <c r="F112" i="5"/>
  <c r="G112" i="5" s="1"/>
  <c r="F109" i="5"/>
  <c r="G109" i="5" s="1"/>
  <c r="F106" i="5"/>
  <c r="G106" i="5" s="1"/>
  <c r="F103" i="5"/>
  <c r="G103" i="5" s="1"/>
  <c r="F100" i="5"/>
  <c r="G100" i="5" s="1"/>
  <c r="F97" i="5"/>
  <c r="G97" i="5" s="1"/>
  <c r="F94" i="5"/>
  <c r="G94" i="5" s="1"/>
  <c r="F91" i="5"/>
  <c r="G91" i="5" s="1"/>
  <c r="F88" i="5"/>
  <c r="G88" i="5" s="1"/>
  <c r="F85" i="5"/>
  <c r="G85" i="5" s="1"/>
  <c r="F82" i="5"/>
  <c r="G82" i="5" s="1"/>
  <c r="F79" i="5"/>
  <c r="G79" i="5" s="1"/>
  <c r="F76" i="5"/>
  <c r="G76" i="5" s="1"/>
  <c r="F73" i="5"/>
  <c r="G73" i="5" s="1"/>
  <c r="F70" i="5"/>
  <c r="G70" i="5" s="1"/>
  <c r="F67" i="5"/>
  <c r="G67" i="5" s="1"/>
  <c r="F64" i="5"/>
  <c r="G64" i="5" s="1"/>
  <c r="F61" i="5"/>
  <c r="G61" i="5" s="1"/>
  <c r="F58" i="5"/>
  <c r="G58" i="5" s="1"/>
  <c r="F55" i="5"/>
  <c r="G55" i="5" s="1"/>
  <c r="F52" i="5"/>
  <c r="G52" i="5" s="1"/>
  <c r="F49" i="5"/>
  <c r="G49" i="5" s="1"/>
  <c r="F46" i="5"/>
  <c r="G46" i="5" s="1"/>
  <c r="F43" i="5"/>
  <c r="G43" i="5" s="1"/>
  <c r="F40" i="5"/>
  <c r="G40" i="5" s="1"/>
  <c r="F37" i="5"/>
  <c r="G37" i="5" s="1"/>
  <c r="F34" i="5"/>
  <c r="G34" i="5" s="1"/>
  <c r="F31" i="5"/>
  <c r="G31" i="5" s="1"/>
  <c r="F28" i="5"/>
  <c r="G28" i="5" s="1"/>
  <c r="F107" i="5"/>
  <c r="G107" i="5" s="1"/>
  <c r="F71" i="5"/>
  <c r="G71" i="5" s="1"/>
  <c r="F41" i="5"/>
  <c r="G41" i="5" s="1"/>
  <c r="F98" i="5"/>
  <c r="G98" i="5" s="1"/>
  <c r="F77" i="5"/>
  <c r="G77" i="5" s="1"/>
  <c r="F68" i="5"/>
  <c r="G68" i="5" s="1"/>
  <c r="F47" i="5"/>
  <c r="G47" i="5" s="1"/>
  <c r="F92" i="5"/>
  <c r="G92" i="5" s="1"/>
  <c r="F59" i="5"/>
  <c r="G59" i="5" s="1"/>
  <c r="F35" i="5"/>
  <c r="G35" i="5" s="1"/>
  <c r="F123" i="5"/>
  <c r="G123" i="5" s="1"/>
  <c r="F120" i="5"/>
  <c r="G120" i="5" s="1"/>
  <c r="F117" i="5"/>
  <c r="G117" i="5" s="1"/>
  <c r="F114" i="5"/>
  <c r="G114" i="5" s="1"/>
  <c r="F111" i="5"/>
  <c r="G111" i="5" s="1"/>
  <c r="F108" i="5"/>
  <c r="G108" i="5" s="1"/>
  <c r="F105" i="5"/>
  <c r="G105" i="5" s="1"/>
  <c r="F102" i="5"/>
  <c r="G102" i="5" s="1"/>
  <c r="F99" i="5"/>
  <c r="G99" i="5" s="1"/>
  <c r="F96" i="5"/>
  <c r="G96" i="5" s="1"/>
  <c r="F93" i="5"/>
  <c r="G93" i="5" s="1"/>
  <c r="F90" i="5"/>
  <c r="G90" i="5" s="1"/>
  <c r="F87" i="5"/>
  <c r="G87" i="5" s="1"/>
  <c r="F84" i="5"/>
  <c r="G84" i="5" s="1"/>
  <c r="F81" i="5"/>
  <c r="G81" i="5" s="1"/>
  <c r="F78" i="5"/>
  <c r="G78" i="5" s="1"/>
  <c r="F75" i="5"/>
  <c r="G75" i="5" s="1"/>
  <c r="F72" i="5"/>
  <c r="G72" i="5" s="1"/>
  <c r="F69" i="5"/>
  <c r="G69" i="5" s="1"/>
  <c r="F66" i="5"/>
  <c r="G66" i="5" s="1"/>
  <c r="F63" i="5"/>
  <c r="G63" i="5" s="1"/>
  <c r="F60" i="5"/>
  <c r="G60" i="5" s="1"/>
  <c r="F57" i="5"/>
  <c r="G57" i="5" s="1"/>
  <c r="F54" i="5"/>
  <c r="G54" i="5" s="1"/>
  <c r="F51" i="5"/>
  <c r="G51" i="5" s="1"/>
  <c r="F48" i="5"/>
  <c r="G48" i="5" s="1"/>
  <c r="F45" i="5"/>
  <c r="G45" i="5" s="1"/>
  <c r="F42" i="5"/>
  <c r="G42" i="5" s="1"/>
  <c r="F39" i="5"/>
  <c r="G39" i="5" s="1"/>
  <c r="F36" i="5"/>
  <c r="G36" i="5" s="1"/>
  <c r="F33" i="5"/>
  <c r="G33" i="5" s="1"/>
  <c r="F30" i="5"/>
  <c r="G30" i="5" s="1"/>
  <c r="F83" i="5"/>
  <c r="G83" i="5" s="1"/>
  <c r="F50" i="5"/>
  <c r="G50" i="5" s="1"/>
  <c r="F122" i="5"/>
  <c r="G122" i="5" s="1"/>
  <c r="F119" i="5"/>
  <c r="G119" i="5" s="1"/>
  <c r="F116" i="5"/>
  <c r="G116" i="5" s="1"/>
  <c r="F113" i="5"/>
  <c r="G113" i="5" s="1"/>
  <c r="F110" i="5"/>
  <c r="G110" i="5" s="1"/>
  <c r="F104" i="5"/>
  <c r="G104" i="5" s="1"/>
  <c r="F89" i="5"/>
  <c r="G89" i="5" s="1"/>
  <c r="F80" i="5"/>
  <c r="G80" i="5" s="1"/>
  <c r="F74" i="5"/>
  <c r="G74" i="5" s="1"/>
  <c r="F56" i="5"/>
  <c r="G56" i="5" s="1"/>
  <c r="F44" i="5"/>
  <c r="G44" i="5" s="1"/>
  <c r="F29" i="5"/>
  <c r="G29" i="5" s="1"/>
  <c r="F95" i="5"/>
  <c r="G95" i="5" s="1"/>
  <c r="F65" i="5"/>
  <c r="G65" i="5" s="1"/>
  <c r="F38" i="5"/>
  <c r="G38" i="5" s="1"/>
  <c r="F86" i="5"/>
  <c r="G86" i="5" s="1"/>
  <c r="F53" i="5"/>
  <c r="G53" i="5" s="1"/>
  <c r="F101" i="5"/>
  <c r="G101" i="5" s="1"/>
  <c r="F62" i="5"/>
  <c r="G62" i="5" s="1"/>
  <c r="F32" i="5"/>
  <c r="G32" i="5" s="1"/>
  <c r="N3" i="1"/>
  <c r="E37" i="8" s="1"/>
  <c r="E9" i="11" l="1"/>
  <c r="E12" i="11"/>
  <c r="E26" i="10"/>
  <c r="E28" i="10"/>
  <c r="E31" i="10"/>
  <c r="E32" i="10"/>
  <c r="E56" i="10"/>
  <c r="E59" i="10"/>
  <c r="E52" i="10"/>
  <c r="E69" i="10"/>
  <c r="E37" i="10"/>
  <c r="E70" i="10"/>
  <c r="E57" i="10"/>
  <c r="E28" i="7"/>
  <c r="E34" i="7"/>
  <c r="E20" i="7"/>
  <c r="E27" i="7"/>
  <c r="E59" i="5"/>
  <c r="E69" i="5"/>
  <c r="E56" i="5"/>
  <c r="E52" i="5"/>
  <c r="E57" i="5"/>
  <c r="E37" i="5"/>
  <c r="E70" i="5"/>
  <c r="E9" i="6"/>
  <c r="E12" i="6"/>
  <c r="E69" i="6"/>
  <c r="E28" i="5"/>
  <c r="E59" i="6"/>
  <c r="E70" i="6"/>
  <c r="E37" i="6"/>
  <c r="E52" i="6"/>
  <c r="E34" i="5"/>
  <c r="E56" i="6"/>
  <c r="E31" i="8"/>
  <c r="E57" i="7"/>
  <c r="E59" i="8"/>
  <c r="E20" i="6"/>
  <c r="E56" i="7"/>
  <c r="E20" i="5"/>
  <c r="E27" i="6"/>
  <c r="E52" i="8"/>
  <c r="E27" i="5"/>
  <c r="E37" i="7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<sst xmlns="http://schemas.openxmlformats.org/spreadsheetml/2006/main" count="2337" uniqueCount="882">
  <si>
    <t xml:space="preserve">LONGi Magnet Australia Job Register </t>
  </si>
  <si>
    <t>Job ID</t>
  </si>
  <si>
    <t>Client</t>
  </si>
  <si>
    <t>Mine/Site</t>
  </si>
  <si>
    <t>Project</t>
  </si>
  <si>
    <t>Job type</t>
  </si>
  <si>
    <t>Mineral</t>
  </si>
  <si>
    <t>Contact Company(if not the Client)</t>
  </si>
  <si>
    <t>Project Manager</t>
  </si>
  <si>
    <t>Quotation/Record Number(HQ)</t>
  </si>
  <si>
    <t>Request Date</t>
  </si>
  <si>
    <t>Quotation Provided Date</t>
  </si>
  <si>
    <t xml:space="preserve">Feedback From Client </t>
  </si>
  <si>
    <t>Comment</t>
  </si>
  <si>
    <t>Name</t>
  </si>
  <si>
    <t>Link</t>
  </si>
  <si>
    <t>HanRoy</t>
  </si>
  <si>
    <t>Mt Beavan</t>
  </si>
  <si>
    <t>Magnetic Separation Trial</t>
  </si>
  <si>
    <t>Testwork</t>
  </si>
  <si>
    <t>Magnetite</t>
  </si>
  <si>
    <t>Hill Wang</t>
  </si>
  <si>
    <t>C:\Users\wubia\OneDrive - Longi Magnet Australia Pty ltd\Documents - Longi Australia\03 Project Management\Client\HanRoy\Mt Beavan\AT0001 Magnetic Separation Trial</t>
  </si>
  <si>
    <t>SIMEC</t>
  </si>
  <si>
    <t>MEP 1</t>
  </si>
  <si>
    <t>General Inquiry</t>
  </si>
  <si>
    <t>Consultation</t>
  </si>
  <si>
    <t>Adela Liang</t>
  </si>
  <si>
    <t>2019.09.01</t>
  </si>
  <si>
    <t>DFS</t>
  </si>
  <si>
    <t>Waiting for tender/quotation</t>
  </si>
  <si>
    <t>C:\Users\wubia\OneDrive - Longi Magnet Australia Pty ltd\Documents - Longi Australia\03 Project Management\Client\SIMEC\MEP 1\AC0001 General Inquiry</t>
  </si>
  <si>
    <t>MEP 2</t>
  </si>
  <si>
    <t>2022.11.20</t>
  </si>
  <si>
    <t>2022.12.27</t>
  </si>
  <si>
    <t>C:\Users\wubia\OneDrive - Longi Magnet Australia Pty ltd\Documents - Longi Australia\03 Project Management\Client\SIMEC\MEP 2\AC0002 General Inquiry</t>
  </si>
  <si>
    <t>MEP 3</t>
  </si>
  <si>
    <t>C:\Users\wubia\OneDrive - Longi Magnet Australia Pty ltd\Documents - Longi Australia\03 Project Management\Client\SIMEC\MEP 3\AC0003 General Inquiry</t>
  </si>
  <si>
    <t>Grange</t>
  </si>
  <si>
    <t>Savage River</t>
  </si>
  <si>
    <t>LJC testline</t>
  </si>
  <si>
    <t>Quotation</t>
  </si>
  <si>
    <t>Hatch</t>
  </si>
  <si>
    <t>C:\Users\wubia\OneDrive - Longi Magnet Australia Pty ltd\Documents - Longi Australia\03 Project Management\Client\Grange\Savage River\AQ0001 LJC testline</t>
  </si>
  <si>
    <t>PeakRE</t>
  </si>
  <si>
    <t>Ngualla</t>
  </si>
  <si>
    <t>WHIMS Testwork</t>
  </si>
  <si>
    <t>Rare Earth</t>
  </si>
  <si>
    <t>Wood PLC</t>
  </si>
  <si>
    <t>C:\Users\wubia\OneDrive - Longi Magnet Australia Pty ltd\Documents - Longi Australia\03 Project Management\Client\PeakRE\Ngualla\AT0002 WHIMS Testwork</t>
  </si>
  <si>
    <t>Globel_Lithium</t>
  </si>
  <si>
    <t>Manna Lithium</t>
  </si>
  <si>
    <t>Manna lithium DFS</t>
  </si>
  <si>
    <t>Lithium</t>
  </si>
  <si>
    <t xml:space="preserve">Wave </t>
  </si>
  <si>
    <t>C:\Users\wubia\OneDrive - Longi Magnet Australia Pty ltd\Documents - Longi Australia\03 Project Management\Client\Globel_Lithium\Manna Lithium\AQ0002 Manna lithium DFS</t>
  </si>
  <si>
    <t>KUREEM</t>
  </si>
  <si>
    <t>KUREEM Project Pilot Plant</t>
  </si>
  <si>
    <t>BV</t>
  </si>
  <si>
    <t>C:\Users\wubia\OneDrive - Longi Magnet Australia Pty ltd\Documents - Longi Australia\03 Project Management\Client\KUREEM\KUREEM\AQ0003 KUREEM Project Pilot Plant</t>
  </si>
  <si>
    <t>KUREEM Project FS</t>
  </si>
  <si>
    <t>Worly</t>
  </si>
  <si>
    <t>C:\Users\wubia\OneDrive - Longi Magnet Australia Pty ltd\Documents - Longi Australia\03 Project Management\Client\KUREEM\KUREEM\AQ0004 KUREEM Project FS</t>
  </si>
  <si>
    <t>FMG</t>
  </si>
  <si>
    <t>Iron Bridge</t>
  </si>
  <si>
    <t>IB Spray bar</t>
  </si>
  <si>
    <t>Free Trial to be issued</t>
  </si>
  <si>
    <t>C:\Users\wubia\OneDrive - Longi Magnet Australia Pty ltd\Documents - Longi Australia\03 Project Management\Client\FMG\Iron Bridge\AQ0005 IB Spray bar</t>
  </si>
  <si>
    <t>MRL</t>
  </si>
  <si>
    <t>Wodgina</t>
  </si>
  <si>
    <t>Wodina Train 4</t>
  </si>
  <si>
    <t>C:\Users\wubia\OneDrive - Longi Magnet Australia Pty ltd\Documents - Longi Australia\03 Project Management\Client\MRL\Wodgina\AQ0006 Wodina Train 4</t>
  </si>
  <si>
    <t>Talison</t>
  </si>
  <si>
    <t>Greenbush</t>
  </si>
  <si>
    <t>Talison CPG4</t>
  </si>
  <si>
    <t>Lycopodoium</t>
  </si>
  <si>
    <t>C:\Users\wubia\OneDrive - Longi Magnet Australia Pty ltd\Documents - Longi Australia\03 Project Management\Client\Talison\Greenbush\AQ0007 Talison CPG4</t>
  </si>
  <si>
    <t>SIMEC Wet Plant</t>
  </si>
  <si>
    <t>Mineral Technology</t>
  </si>
  <si>
    <t>2023.11.09</t>
  </si>
  <si>
    <t>2023.11.10</t>
  </si>
  <si>
    <t>C:\Users\wubia\OneDrive - Longi Magnet Australia Pty ltd\Documents - Longi Australia\03 Project Management\Client\SIMEC\MEP 1\AQ0008 SIMEC Wet Plant</t>
  </si>
  <si>
    <t>SIMEC Dry Plant</t>
  </si>
  <si>
    <t>BGE</t>
  </si>
  <si>
    <t>2023.10.25</t>
  </si>
  <si>
    <t>2023.11.06</t>
  </si>
  <si>
    <t>C:\Users\wubia\OneDrive - Longi Magnet Australia Pty ltd\Documents - Longi Australia\03 Project Management\Client\SIMEC\MEP 1\AQ0009 SIMEC Dry Plant</t>
  </si>
  <si>
    <t>Ridley</t>
  </si>
  <si>
    <t>Ridley LIMS</t>
  </si>
  <si>
    <t>SEDGMAN ONYX</t>
  </si>
  <si>
    <t>C:\Users\wubia\OneDrive - Longi Magnet Australia Pty ltd\Documents - Longi Australia\03 Project Management\Client\HanRoy\Ridley\AQ0010 Ridley LIMS</t>
  </si>
  <si>
    <t>DMS</t>
  </si>
  <si>
    <t>C:\Users\wubia\OneDrive - Longi Magnet Australia Pty ltd\Documents - Longi Australia\03 Project Management\Client\HanRoy\Mt Beavan\AQ0011 DMS</t>
  </si>
  <si>
    <t>C:\Users\wubia\OneDrive - Longi Magnet Australia Pty ltd\Documents - Longi Australia\03 Project Management\Client\HanRoy\Ridley\AC0004 General Inquiry</t>
  </si>
  <si>
    <t>AVL</t>
  </si>
  <si>
    <t>The Australian Vanadium Project</t>
  </si>
  <si>
    <t>Vanadium</t>
  </si>
  <si>
    <t>C:\Users\wubia\OneDrive - Longi Magnet Australia Pty ltd\Documents - Longi Australia\03 Project Management\Client\AVL\The Australian Vanadium Project\AC0005 General Inquiry</t>
  </si>
  <si>
    <t>Young_Steel</t>
  </si>
  <si>
    <t>Snaefell</t>
  </si>
  <si>
    <t>2023.07.30</t>
  </si>
  <si>
    <t xml:space="preserve">DFS design </t>
  </si>
  <si>
    <t>C:\Users\wubia\OneDrive - Longi Magnet Australia Pty ltd\Documents - Longi Australia\03 Project Management\Client\Young_Steel\Snaefell\AC0006 General Inquiry</t>
  </si>
  <si>
    <t>C:\Users\wubia\OneDrive - Longi Magnet Australia Pty ltd\Documents - Longi Australia\03 Project Management\Client\Globel_Lithium\Manna Lithium\AT0003 General Inquiry</t>
  </si>
  <si>
    <t>LIMS Scale-up Testwork</t>
  </si>
  <si>
    <t>Waiting for the Samples</t>
  </si>
  <si>
    <t>C:\Users\wubia\OneDrive - Longi Magnet Australia Pty ltd\Documents - Longi Australia\03 Project Management\Client\HanRoy\Ridley\AT0004 LIMS Scale-up Testwork</t>
  </si>
  <si>
    <t>LJC Fiber Removal Testwork</t>
  </si>
  <si>
    <t>C:\Users\wubia\OneDrive - Longi Magnet Australia Pty ltd\Documents - Longi Australia\03 Project Management\Client\HanRoy\Ridley\AT0005 LJC Fiber Removal Testwork</t>
  </si>
  <si>
    <t>dewater drum replacement</t>
  </si>
  <si>
    <t>C:\Users\wubia\OneDrive - Longi Magnet Australia Pty ltd\Documents - Longi Australia\03 Project Management\Client\FMG\Iron Bridge\AQ0012 dewater drum replacement</t>
  </si>
  <si>
    <t>Southdown</t>
  </si>
  <si>
    <t>DRY+WET new plant</t>
  </si>
  <si>
    <t>DFS, early stage</t>
  </si>
  <si>
    <t>C:\Users\wubia\OneDrive - Longi Magnet Australia Pty ltd\Documents - Longi Australia\03 Project Management\Client\Grange\Southdown\AQ0013 DRY+WET new plant</t>
  </si>
  <si>
    <t>Ladestone</t>
  </si>
  <si>
    <t>Baremar</t>
  </si>
  <si>
    <t xml:space="preserve"> Developing Plant</t>
  </si>
  <si>
    <t>C:\Users\wubia\OneDrive - Longi Magnet Australia Pty ltd\Documents - Longi Australia\03 Project Management\Client\Ladestone\Baremar\AT0006  Developing Plant</t>
  </si>
  <si>
    <t>Leo_Lithium</t>
  </si>
  <si>
    <t>GOULAMINA</t>
  </si>
  <si>
    <t>GOULAMINA LITHIUM EXPANSION PROJECT</t>
  </si>
  <si>
    <t>C:\Users\wubia\OneDrive - Longi Magnet Australia Pty ltd\Documents - Longi Australia\03 Project Management\Client\Leo_Lithium\GOULAMINA\AC0007 GOULAMINA LITHIUM EXPANSION PROJECT</t>
  </si>
  <si>
    <t>Athenas_Reource</t>
  </si>
  <si>
    <t>Byro</t>
  </si>
  <si>
    <t>2023.09.20</t>
  </si>
  <si>
    <t>DFS design</t>
  </si>
  <si>
    <t>C:\Users\wubia\OneDrive - Longi Magnet Australia Pty ltd\Documents - Longi Australia\03 Project Management\Client\Athenas_Reource\Byro\AC0008 General Inquiry</t>
  </si>
  <si>
    <t>AC0008 General Inquiry</t>
  </si>
  <si>
    <t>LJC Testwork</t>
  </si>
  <si>
    <t xml:space="preserve">waitting for modification </t>
  </si>
  <si>
    <t>C:\Users\wubia\OneDrive - Longi Magnet Australia Pty ltd\Documents - Longi Australia\03 Project Management\Client\FMG\Iron Bridge\AT0007 LJC Testwork</t>
  </si>
  <si>
    <t>Cloudbreak</t>
  </si>
  <si>
    <t>Hematite</t>
  </si>
  <si>
    <t>Tailing treatment</t>
  </si>
  <si>
    <t>C:\Users\wubia\OneDrive - Longi Magnet Australia Pty ltd\Documents - Longi Australia\03 Project Management\Client\FMG\Cloudbreak\AT0008 WHIMS Testwork</t>
  </si>
  <si>
    <t>Christmas Creek </t>
  </si>
  <si>
    <t>Spare Parts</t>
  </si>
  <si>
    <t>Parts</t>
  </si>
  <si>
    <t>OPF</t>
  </si>
  <si>
    <t>C:\Users\wubia\OneDrive - Longi Magnet Australia Pty ltd\Documents - Longi Australia\03 Project Management\Client\FMG\Christmas Creek \AP0001 Spare Parts</t>
  </si>
  <si>
    <t>Solomon</t>
  </si>
  <si>
    <t>Early stage</t>
  </si>
  <si>
    <t>C:\Users\wubia\OneDrive - Longi Magnet Australia Pty ltd\Documents - Longi Australia\03 Project Management\Client\FMG\Solomon\AT0009 WHIMS Testwork</t>
  </si>
  <si>
    <t>Peak_Iron</t>
  </si>
  <si>
    <t>Hawks Nest Magnetite</t>
  </si>
  <si>
    <t>Fine Dry Magnetic Separation testing</t>
  </si>
  <si>
    <t>2023.12.05</t>
  </si>
  <si>
    <t>Estimated start at 2024 Jan.</t>
  </si>
  <si>
    <t>C:\Users\wubia\OneDrive - Longi Magnet Australia Pty ltd\Documents - Longi Australia\03 Project Management\Client\Peak_Iron\Hawks Nest Magnetite\AT0010 Fine Dry Magnetic Separation testing</t>
  </si>
  <si>
    <t>TBA</t>
  </si>
  <si>
    <t>TBA 1</t>
  </si>
  <si>
    <t>LIMS+WHIMS</t>
  </si>
  <si>
    <t>2023.11.20</t>
  </si>
  <si>
    <t>C:\Users\wubia\OneDrive - Longi Magnet Australia Pty ltd\Documents - Longi Australia\03 Project Management\Client\TBA\TBA 1\AQ0014 LIMS+WHIMS</t>
  </si>
  <si>
    <t>Mt Marion</t>
  </si>
  <si>
    <t>Service</t>
  </si>
  <si>
    <t>C:\Users\wubia\OneDrive - Longi Magnet Australia Pty ltd\Documents - Longi Australia\03 Project Management\Client\MRL\Mt Marion\AS0001 Service</t>
  </si>
  <si>
    <t>Riotinto</t>
  </si>
  <si>
    <t>Gudai-Darri 3</t>
  </si>
  <si>
    <t>C:\Users\wubia\OneDrive - Longi Magnet Australia Pty ltd\Documents - Longi Australia\03 Project Management\Client\Riotinto\Gudai-Darri 3\AT0011 WHIMS Testwork</t>
  </si>
  <si>
    <t>Tom Price</t>
  </si>
  <si>
    <t>C:\Users\wubia\OneDrive - Longi Magnet Australia Pty ltd\Documents - Longi Australia\03 Project Management\Client\Riotinto\Tom Price\AT0012 WHIMS Testwork</t>
  </si>
  <si>
    <t>TMT</t>
  </si>
  <si>
    <t>Murchison</t>
  </si>
  <si>
    <t>C:\Users\wubia\OneDrive - Longi Magnet Australia Pty ltd\Documents - Longi Australia\03 Project Management\Client\TMT\Murchison\AQ0015 Murchison</t>
  </si>
  <si>
    <t>Covalent_Lithium</t>
  </si>
  <si>
    <t>Mount Holland</t>
  </si>
  <si>
    <t>Mount Holland Lithium Expansion</t>
  </si>
  <si>
    <t>C:\Users\wubia\OneDrive - Longi Magnet Australia Pty ltd\Documents - Longi Australia\03 Project Management\Client\Covalent_Lithium\Mount Holland\AQ0016 Mount Holland Lithium Expansion</t>
  </si>
  <si>
    <t>Chemical Plant</t>
  </si>
  <si>
    <t>C:\Users\wubia\OneDrive - Longi Magnet Australia Pty ltd\Documents - Longi Australia\03 Project Management\Client\Covalent_Lithium\Mount Holland\AT0013 Chemical Plant</t>
  </si>
  <si>
    <t>Lion_Town</t>
  </si>
  <si>
    <t>Kathleen Valley</t>
  </si>
  <si>
    <t>Kathleen Valley Lithium – Tantalum Expansion Project</t>
  </si>
  <si>
    <t>C:\Users\wubia\OneDrive - Longi Magnet Australia Pty ltd\Documents - Longi Australia\03 Project Management\Client\Lion_Town\Kathleen Valley\AC0009 Kathleen Valley Lithium – Tantalum Expansion Project</t>
  </si>
  <si>
    <t>Buldania</t>
  </si>
  <si>
    <t>C:\Users\wubia\OneDrive - Longi Magnet Australia Pty ltd\Documents - Longi Australia\03 Project Management\Client\Lion_Town\Buldania\AC0010 Buldania</t>
  </si>
  <si>
    <t>Karara_Mining</t>
  </si>
  <si>
    <t>Karara</t>
  </si>
  <si>
    <t>Spray bar</t>
  </si>
  <si>
    <t>TBC</t>
  </si>
  <si>
    <t>C:\Users\wubia\OneDrive - Longi Magnet Australia Pty ltd\Documents - Longi Australia\03 Project Management\Client\Karara_Mining\Karara\AQ0017 Spray bar</t>
  </si>
  <si>
    <t>Blackore</t>
  </si>
  <si>
    <t>Extension Hill</t>
  </si>
  <si>
    <t xml:space="preserve">DLIMS </t>
  </si>
  <si>
    <t xml:space="preserve">C:\Users\wubia\OneDrive - Longi Magnet Australia Pty ltd\Documents - Longi Australia\03 Project Management\Client\Blackore\Extension Hill\AQ0018 DLIMS </t>
  </si>
  <si>
    <t>Lindian_Resources</t>
  </si>
  <si>
    <t>Kangankunde</t>
  </si>
  <si>
    <t>WHIMS Plant</t>
  </si>
  <si>
    <t>C:\Users\wubia\OneDrive - Longi Magnet Australia Pty ltd\Documents - Longi Australia\03 Project Management\Client\Lindian_Resources\Kangankunde\AC0011 WHIMS Plant</t>
  </si>
  <si>
    <t>Inspection at 14th of Dec</t>
  </si>
  <si>
    <t>C:\Users\wubia\OneDrive - Longi Magnet Australia Pty ltd\Documents - Longi Australia\03 Project Management\Client\Talison\Greenbush\AS0002 CPG3 Equipment Inspection</t>
  </si>
  <si>
    <t>(All)</t>
  </si>
  <si>
    <t>Job Number</t>
  </si>
  <si>
    <t>Count of Project</t>
  </si>
  <si>
    <t>AC0001</t>
  </si>
  <si>
    <t>AC0002</t>
  </si>
  <si>
    <t>AC0003</t>
  </si>
  <si>
    <t>AC0006</t>
  </si>
  <si>
    <t>AC0008</t>
  </si>
  <si>
    <t>AP0001</t>
  </si>
  <si>
    <t>AQ0001</t>
  </si>
  <si>
    <t>AQ0003</t>
  </si>
  <si>
    <t>AQ0004</t>
  </si>
  <si>
    <t>AQ0005</t>
  </si>
  <si>
    <t>AQ0008</t>
  </si>
  <si>
    <t>AQ0009</t>
  </si>
  <si>
    <t>AQ0012</t>
  </si>
  <si>
    <t>AQ0013</t>
  </si>
  <si>
    <t>AQ0014</t>
  </si>
  <si>
    <t>AT0002</t>
  </si>
  <si>
    <t>AT0006</t>
  </si>
  <si>
    <t>AT0007</t>
  </si>
  <si>
    <t>AT0008</t>
  </si>
  <si>
    <t>AT0009</t>
  </si>
  <si>
    <t>AT0010</t>
  </si>
  <si>
    <t>Grand Total</t>
  </si>
  <si>
    <t>AQ0002</t>
  </si>
  <si>
    <t>AQ0006</t>
  </si>
  <si>
    <t>AQ0007</t>
  </si>
  <si>
    <t>AQ0010</t>
  </si>
  <si>
    <t>AQ0011</t>
  </si>
  <si>
    <t>AQ0015</t>
  </si>
  <si>
    <t>AQ0016</t>
  </si>
  <si>
    <t>AS0001</t>
  </si>
  <si>
    <t>Client List</t>
  </si>
  <si>
    <t>Khalzan_Buregtei</t>
  </si>
  <si>
    <t>Marble Bar Lithium</t>
  </si>
  <si>
    <t>Coates </t>
  </si>
  <si>
    <t>TBA 2</t>
  </si>
  <si>
    <t>Nowthanna Hill Uranium &amp; Vanadium</t>
  </si>
  <si>
    <t>Contact Company</t>
  </si>
  <si>
    <t>Lucy Ding</t>
  </si>
  <si>
    <t>Weijun Wang</t>
  </si>
  <si>
    <t>Wubiao Weng</t>
  </si>
  <si>
    <t>Ilmenite+Magnetite</t>
  </si>
  <si>
    <t>Mets Engineering</t>
  </si>
  <si>
    <t>Dry Magnetic Separation Testwork(BV)</t>
  </si>
  <si>
    <t>C:\Users\wubia\OneDrive - Longi Magnet Australia Pty ltd\Documents - Longi Australia\03 Project Management\Client\Blackore\Extension Hill\AT0014 Dry Magnetic Separation Testwork(BV)</t>
  </si>
  <si>
    <t>CAP-MAG066-1186 Wet Magnetic Separators</t>
  </si>
  <si>
    <t>2024.2.9</t>
  </si>
  <si>
    <t xml:space="preserve">Request </t>
  </si>
  <si>
    <t>C:\Users\wubia\OneDrive - Longi Magnet Australia Pty ltd\Documents - Longi Australia\03 Project Management\Client\SIMEC\MEP 2\AQ0019 CAP-MAG066-1186 Wet Magnetic Separators</t>
  </si>
  <si>
    <t>Magnetite_Mines</t>
  </si>
  <si>
    <t>The Razorback </t>
  </si>
  <si>
    <t>Muster Dam</t>
  </si>
  <si>
    <t>AQ0018</t>
  </si>
  <si>
    <t>AT0014</t>
  </si>
  <si>
    <t>AQ0019</t>
  </si>
  <si>
    <t xml:space="preserve">WHIMS Hematite Investigation </t>
  </si>
  <si>
    <t xml:space="preserve">C:\Users\wubia\OneDrive - Longi Magnet Australia Pty ltd\Documents - Longi Australia\03 Project Management\Client\Magnetite_Mines\The Razorback \AT0015 WHIMS Hematite Investigation </t>
  </si>
  <si>
    <t xml:space="preserve">Replacing Magnetic Separators </t>
  </si>
  <si>
    <t xml:space="preserve">C:\Users\wubia\OneDrive - Longi Magnet Australia Pty ltd\Documents - Longi Australia\03 Project Management\Client\Riotinto\Tom Price\AQ0020 Replacing Magnetic Separators </t>
  </si>
  <si>
    <t>AQ0021</t>
  </si>
  <si>
    <t>RMS Replacement</t>
  </si>
  <si>
    <t>2024.1.10</t>
  </si>
  <si>
    <t>C:\Users\wubia\OneDrive - Longi Magnet Australia Pty ltd\Documents - Longi Australia\03 Project Management\Client\FMG\Iron Bridge\AQ0021 RMS Replacement</t>
  </si>
  <si>
    <t>Minsol</t>
  </si>
  <si>
    <t>2024.1.12</t>
  </si>
  <si>
    <t>LIMS and WHIMS(Minsol)</t>
  </si>
  <si>
    <t>C:\Users\wubia\OneDrive - Longi Magnet Australia Pty ltd\Documents - Longi Australia\03 Project Management\Client\MRL\Mt Marion\AQ0022 LIMS and WHIMS(Minsol)</t>
  </si>
  <si>
    <t xml:space="preserve"> Savannah_Resources</t>
  </si>
  <si>
    <t>Barroso Lithium Project(Portugal)</t>
  </si>
  <si>
    <t>BLP LIMS and WHIMS(Minsol)</t>
  </si>
  <si>
    <t>C:\Users\wubia\OneDrive - Longi Magnet Australia Pty ltd\Documents - Longi Australia\03 Project Management\Client\ Savannah_Resources\Barroso Lithium Project(Portugal)\AQ0023 BLP LIMS and WHIMS(Minsol)</t>
  </si>
  <si>
    <t>AQ0022</t>
  </si>
  <si>
    <t>AQ0023</t>
  </si>
  <si>
    <t>CGP1 Oil Cooling Coil upgrade</t>
  </si>
  <si>
    <t>C:\Users\wubia\OneDrive - Longi Magnet Australia Pty ltd\Documents - Longi Australia\03 Project Management\Client\Talison\Greenbush\AS0003 CGP1 Oil Cooling Coil upgrade</t>
  </si>
  <si>
    <t>C:\Users\wubia\OneDrive - Longi Magnet Australia Pty ltd\Documents - Longi Australia\03 Project Management\Client\Riotinto\Tom Price\AC0013 General Inquiry</t>
  </si>
  <si>
    <t>VRM and MS Pilot Testwork</t>
  </si>
  <si>
    <t>C:\Users\wubia\OneDrive - Longi Magnet Australia Pty ltd\Documents - Longi Australia\03 Project Management\Client\HanRoy\Mt Beavan\AT0016 VRM and MS Pilot Testwork</t>
  </si>
  <si>
    <t>LIMS Service</t>
  </si>
  <si>
    <t>Multotec</t>
  </si>
  <si>
    <t>C:\Users\wubia\OneDrive - Longi Magnet Australia Pty ltd\Documents - Longi Australia\03 Project Management\Client\MRL\Mt Marion\AS0004 LIMS Service</t>
  </si>
  <si>
    <t>ConsMin</t>
  </si>
  <si>
    <t>Woodie Woodie</t>
  </si>
  <si>
    <t>Manganese</t>
  </si>
  <si>
    <t>Tails WHIMS Testwork</t>
  </si>
  <si>
    <t>C:\Users\wubia\OneDrive - Longi Magnet Australia Pty ltd\Documents - Longi Australia\03 Project Management\Client\ConsMin\Woodie Woodie\AT0017 Tails WHIMS Testwork</t>
  </si>
  <si>
    <t>WHIMS Service</t>
  </si>
  <si>
    <t>C:\Users\wubia\OneDrive - Longi Magnet Australia Pty ltd\Documents - Longi Australia\03 Project Management\Client\MRL\Wodgina\AS0005 WHIMS Service</t>
  </si>
  <si>
    <t>HI-RDLY-0109</t>
  </si>
  <si>
    <t>C:\Users\wubia\OneDrive - Longi Magnet Australia Pty ltd\Documents - Longi Australia\03 Project Management\Client\HanRoy\Ridley\AQ0024 HI-RDLY-0109</t>
  </si>
  <si>
    <t>Sammie Mao</t>
  </si>
  <si>
    <t>Liberia Bang</t>
  </si>
  <si>
    <t>C:\Users\wubia\OneDrive - Longi Magnet Australia Pty ltd\Documents - Longi Australia\03 Project Management\Client\Blackore\Liberia Bang\AT0018 LJC Testwork</t>
  </si>
  <si>
    <t>Terrance Zhao</t>
  </si>
  <si>
    <t>AS0004</t>
  </si>
  <si>
    <t>AS0005</t>
  </si>
  <si>
    <t>AQ0024</t>
  </si>
  <si>
    <t>Heat Exchanger Upgade</t>
  </si>
  <si>
    <t>..\Client\MRL\Mt Marion\AQ0025 Heat Exchanger Upgade</t>
  </si>
  <si>
    <t>Metal Detector</t>
  </si>
  <si>
    <t>Mid West Port Authority</t>
  </si>
  <si>
    <t>Others</t>
  </si>
  <si>
    <t>BV Perth</t>
  </si>
  <si>
    <t>BV SA</t>
  </si>
  <si>
    <t>BV UT</t>
  </si>
  <si>
    <t>ALS</t>
  </si>
  <si>
    <t>ALS Balcata</t>
  </si>
  <si>
    <t>ALS IOTC</t>
  </si>
  <si>
    <t>Nagrom</t>
  </si>
  <si>
    <t>..\Client\BV\BV Perth\AS0006 WHIMS Service</t>
  </si>
  <si>
    <t>LGS-500 Installation</t>
  </si>
  <si>
    <t>..\Client\ALS\ALS Balcata\AS0007 LGS-500 Installation</t>
  </si>
  <si>
    <t>LGS-100 Installation</t>
  </si>
  <si>
    <t>..\Client\Nagrom\Nagrom\AS0008 LGS-100 Installation</t>
  </si>
  <si>
    <t>_MWPA</t>
  </si>
  <si>
    <t>C:\Users\wubia\OneDrive - Longi Magnet Australia Pty ltd\Documents - Longi Australia\03 Project Management\Client\_MWPA\Mid West Port Authority\AQ0027 Metal Detector</t>
  </si>
  <si>
    <t>C:\Users\wubia\OneDrive - Longi Magnet Australia Pty ltd\Documents - Longi Australia\03 Project Management\Client\SIMEC\MEP 1\AQ0026 Metal Detector</t>
  </si>
  <si>
    <t>MS Testworks(HQ)</t>
  </si>
  <si>
    <t>C:\Users\wubia\OneDrive - Longi Magnet Australia Pty ltd\Documents - Longi Australia\03 Project Management\Client\Blackore\Extension Hill\AT0019 MS Testworks(HQ)</t>
  </si>
  <si>
    <t xml:space="preserve">WHIMS Investigation </t>
  </si>
  <si>
    <t xml:space="preserve">C:\Users\wubia\OneDrive - Longi Magnet Australia Pty ltd\Documents - Longi Australia\03 Project Management\Client\FMG\Christmas Creek \AT0020 WHIMS Investigation </t>
  </si>
  <si>
    <t>Green Steel</t>
  </si>
  <si>
    <t>Greensteel WHIMS</t>
  </si>
  <si>
    <t>C:\Users\wubia\OneDrive - Longi Magnet Australia Pty ltd\Documents - Longi Australia\03 Project Management\Client\Riotinto\Green Steel\AT0021 Greensteel WHIMS</t>
  </si>
  <si>
    <t>LJC Pilot Test</t>
  </si>
  <si>
    <t>C:\Users\wubia\OneDrive - Longi Magnet Australia Pty ltd\Documents - Longi Australia\03 Project Management\Client\SIMEC\MEP 1\AT0022 LJC Pilot Test</t>
  </si>
  <si>
    <t>WINBO</t>
  </si>
  <si>
    <t>PEABODY_ENERGY</t>
  </si>
  <si>
    <t>Coal</t>
  </si>
  <si>
    <t>HMDS Drum Replacment</t>
  </si>
  <si>
    <t>C:\Users\wubia\OneDrive - Longi Magnet Australia Pty ltd\Documents - Longi Australia\03 Project Management\Client\PEABODY_ENERGY\WINBO\AQ0028 HMDS Drum Replacment</t>
  </si>
  <si>
    <t>AQ0025</t>
  </si>
  <si>
    <t>AQ0026</t>
  </si>
  <si>
    <t>AT0022</t>
  </si>
  <si>
    <t>AQ0028</t>
  </si>
  <si>
    <t xml:space="preserve">MS Investigation </t>
  </si>
  <si>
    <t xml:space="preserve">C:\Users\wubia\OneDrive - Longi Magnet Australia Pty ltd\Documents - Longi Australia\03 Project Management\Client\Karara_Mining\Karara\AT0023 MS Investigation </t>
  </si>
  <si>
    <t>LCGF Testwork</t>
  </si>
  <si>
    <t>C:\Users\wubia\OneDrive - Longi Magnet Australia Pty ltd\Documents - Longi Australia\03 Project Management\Client\SIMEC\MEP 1\AT0024 LCGF Testwork</t>
  </si>
  <si>
    <t>Lincoln_Minerals</t>
  </si>
  <si>
    <t>Green Iron Magnetite</t>
  </si>
  <si>
    <t>C:\Users\wubia\OneDrive - Longi Magnet Australia Pty ltd\Documents - Longi Australia\03 Project Management\Client\Lincoln_Minerals\Green Iron Magnetite\AC0014 General Inquiry</t>
  </si>
  <si>
    <t>WHIMS SPARES</t>
  </si>
  <si>
    <t>Prepare the PO</t>
  </si>
  <si>
    <t>DMS LIMS</t>
  </si>
  <si>
    <t>PRIMERO</t>
  </si>
  <si>
    <t>BUDGET QUOTE</t>
  </si>
  <si>
    <t>PO issued</t>
  </si>
  <si>
    <t>C:\Users\wubia\OneDrive - Longi Magnet Australia Pty ltd\Documents - Longi Australia\03 Project Management\Client\MRL\Mt Marion\AQ0029 WHIMS SPARES</t>
  </si>
  <si>
    <t>C:\Users\wubia\OneDrive - Longi Magnet Australia Pty ltd\Documents - Longi Australia\03 Project Management\Client\FMG\Solomon\AQ0030 DMS LIMS</t>
  </si>
  <si>
    <t>C:\Users\wubia\OneDrive - Longi Magnet Australia Pty ltd\Documents - Longi Australia\03 Project Management\Client\MRL\Mt Marion\AQ0031 WHIMS SPARES</t>
  </si>
  <si>
    <t>LJC Budget</t>
  </si>
  <si>
    <t>C:\Users\wubia\OneDrive - Longi Magnet Australia Pty ltd\Documents - Longi Australia\03 Project Management\Client\SIMEC\MEP 3\AQ0032 LJC Budget</t>
  </si>
  <si>
    <t>C:\Users\wubia\OneDrive - Longi Magnet Australia Pty ltd\Documents - Longi Australia\03 Project Management\Client\MRL\Mt Marion\AP0002 Spare Parts</t>
  </si>
  <si>
    <t>MNREC</t>
  </si>
  <si>
    <t>WHIMS Pilot</t>
  </si>
  <si>
    <t>C:\Users\wubia\OneDrive - Longi Magnet Australia Pty ltd\Documents - Longi Australia\03 Project Management\Client\MRL\Wodgina\AQ0033 WHIMS SPARES</t>
  </si>
  <si>
    <t>C:\Users\wubia\OneDrive - Longi Magnet Australia Pty ltd\Documents - Longi Australia\03 Project Management\Client\MNREC\Khalzan_Buregtei\AT0025 WHIMS Pilot</t>
  </si>
  <si>
    <t>Trenel</t>
  </si>
  <si>
    <t>Minral sand MS testwork</t>
  </si>
  <si>
    <t>Minral Sand</t>
  </si>
  <si>
    <t>C:\Users\wubia\OneDrive - Longi Magnet Australia Pty ltd\Documents - Longi Australia\03 Project Management\Client\Trenel\Trenel\AT0026 Minral sand MS testwork</t>
  </si>
  <si>
    <t>TRENEL</t>
  </si>
  <si>
    <t>Silica</t>
  </si>
  <si>
    <t>ATQ0026</t>
  </si>
  <si>
    <t>P1000</t>
  </si>
  <si>
    <t>SPODUMENE</t>
  </si>
  <si>
    <t>C:\Users\wubia\OneDrive - Longi Magnet Australia Pty ltd\Documents - Longi Australia\03 Project Management\Client\Riotinto\\AQ0034 HVO CHPP</t>
  </si>
  <si>
    <t>CHPP</t>
  </si>
  <si>
    <t xml:space="preserve">HVO </t>
  </si>
  <si>
    <t>PLS</t>
  </si>
  <si>
    <t>Pilgangoora</t>
  </si>
  <si>
    <t>Pilgan</t>
  </si>
  <si>
    <t>Ngungaju</t>
  </si>
  <si>
    <t>Loesche</t>
  </si>
  <si>
    <t>Empire_Metals </t>
  </si>
  <si>
    <t>Pitfield</t>
  </si>
  <si>
    <t>C:\Users\wubia\OneDrive - Longi Magnet Australia Pty ltd\Documents - Longi Australia\03 Project Management\Client\Trenel\Trenel\AT0027 TRENEL</t>
  </si>
  <si>
    <t>C:\Users\wubia\OneDrive - Longi Magnet Australia Pty ltd\Documents - Longi Australia\03 Project Management\Client\PLS\Pilgangoora\AQ0035 P1000</t>
  </si>
  <si>
    <t>C:\Users\wubia\OneDrive - Longi Magnet Australia Pty ltd\Documents - Longi Australia\03 Project Management\Client\Loesche\Loesche\AC0015 General Inquiry</t>
  </si>
  <si>
    <t>C:\Users\wubia\OneDrive - Longi Magnet Australia Pty ltd\Documents - Longi Australia\03 Project Management\Client\Empire_Metals \Pitfield\AC0016 General Inquiry</t>
  </si>
  <si>
    <t>Norton</t>
  </si>
  <si>
    <t>Paddington</t>
  </si>
  <si>
    <t>Binduli</t>
  </si>
  <si>
    <t xml:space="preserve">Belt iron remover </t>
  </si>
  <si>
    <t xml:space="preserve">C:\Users\wubia\OneDrive - Longi Magnet Australia Pty ltd\Documents - Longi Australia\03 Project Management\Client\Norton\Paddington\AQ0036 Belt iron remover </t>
  </si>
  <si>
    <t>AQ0029</t>
  </si>
  <si>
    <t>AQ0030</t>
  </si>
  <si>
    <t>AQ0031</t>
  </si>
  <si>
    <t>AQ0033</t>
  </si>
  <si>
    <t>AQ0034</t>
  </si>
  <si>
    <t>AQ0035</t>
  </si>
  <si>
    <t>AQ0032</t>
  </si>
  <si>
    <t>AP0002</t>
  </si>
  <si>
    <t>AT0025</t>
  </si>
  <si>
    <t>AQ0036</t>
  </si>
  <si>
    <t>LCGF Pilot Testwork</t>
  </si>
  <si>
    <t>C:\Users\wubia\OneDrive - Longi Magnet Australia Pty ltd\Documents - Longi Australia\03 Project Management\Client\HanRoy\Mt Beavan\AT0028 LCGF Pilot Testwork</t>
  </si>
  <si>
    <t>Belt Magnet Drum Testwork</t>
  </si>
  <si>
    <t>C:\Users\wubia\OneDrive - Longi Magnet Australia Pty ltd\Documents - Longi Australia\03 Project Management\Client\MRL\Mt Marion\AT0029 Belt Magnet Drum Testwork</t>
  </si>
  <si>
    <t>C:\Users\wubia\OneDrive - Longi Magnet Australia Pty ltd\Documents - Longi Australia\03 Project Management\Client\Nagrom\Nagrom\AC0017 General Inquiry</t>
  </si>
  <si>
    <t>DLIMS FS MT</t>
  </si>
  <si>
    <t>C:\Users\wubia\OneDrive - Longi Magnet Australia Pty ltd\Documents - Longi Australia\03 Project Management\Client\SIMEC\MEP 1\AQ0037 DLIMS FS MT</t>
  </si>
  <si>
    <t>WHIMS PFS</t>
  </si>
  <si>
    <t>C:\Users\wubia\OneDrive - Longi Magnet Australia Pty ltd\Documents - Longi Australia\03 Project Management\Client\MNREC\Khalzan_Buregtei\AQ0038 WHIMS PFS</t>
  </si>
  <si>
    <t>LCGJ DMS</t>
  </si>
  <si>
    <t>C:\Users\wubia\OneDrive - Longi Magnet Australia Pty ltd\Documents - Longi Australia\03 Project Management\Client\Blackore\Extension Hill\AQ0039 LCGJ DMS</t>
  </si>
  <si>
    <t>DFS CP008 MS</t>
  </si>
  <si>
    <t>GR</t>
  </si>
  <si>
    <t>C:\Users\wubia\OneDrive - Longi Magnet Australia Pty ltd\Documents - Longi Australia\03 Project Management\Client\Globel_Lithium\Manna Lithium\AQ0040 DFS CP008 MS</t>
  </si>
  <si>
    <t>LGS-EX Replacement</t>
  </si>
  <si>
    <t>C:\Users\wubia\OneDrive - Longi Magnet Australia Pty ltd\Documents - Longi Australia\03 Project Management\Client\BV\BV Perth\AQ0041 LGS-EX Replacement</t>
  </si>
  <si>
    <t>General Service</t>
  </si>
  <si>
    <t>C:\Users\wubia\OneDrive - Longi Magnet Australia Pty ltd\Documents - Longi Australia\03 Project Management\Client\Covalent_Lithium\Mount Holland\AS0009 General Service</t>
  </si>
  <si>
    <t>UCMS FS MT</t>
  </si>
  <si>
    <t>C:\Users\wubia\OneDrive - Longi Magnet Australia Pty ltd\Documents - Longi Australia\03 Project Management\Client\SIMEC\MEP 1\AQ0042 UCMS FS MT</t>
  </si>
  <si>
    <t>CXL</t>
  </si>
  <si>
    <t>Greensteel</t>
  </si>
  <si>
    <t xml:space="preserve">Greensteel Mag Separation Collbaration </t>
  </si>
  <si>
    <t xml:space="preserve">C:\Users\wubia\OneDrive - Longi Magnet Australia Pty ltd\Documents - Longi Australia\03 Project Management\Client\CXL\Greensteel\AC0018 Greensteel Mag Separation Collbaration </t>
  </si>
  <si>
    <t>C:\Users\wubia\OneDrive - Longi Magnet Australia Pty ltd\Documents - Longi Australia\03 Project Management\Client\SIMEC\Hematite\AT0030 WHIMS Testwork</t>
  </si>
  <si>
    <t>LGS-500 Rentel</t>
  </si>
  <si>
    <t>C:\Users\wubia\OneDrive - Longi Magnet Australia Pty ltd\Documents - Longi Australia\03 Project Management\Client\ALS\ALS Balcata\AQ0043 LGS-500 Rentel</t>
  </si>
  <si>
    <t>CGP1 COMPLETE CHANGE</t>
  </si>
  <si>
    <t>CGP2 COMPLETE CHANGE</t>
  </si>
  <si>
    <t>C:\Users\wubia\OneDrive - Longi Magnet Australia Pty ltd\Documents - Longi Australia\03 Project Management\Client\Talison\\AQ0044 CGP1 COMPLETE CHANGE</t>
  </si>
  <si>
    <t>C:\Users\wubia\OneDrive - Longi Magnet Australia Pty ltd\Documents - Longi Australia\03 Project Management\Client\Talison\\AQ0045 CGP2 COMPLETE CHANGE</t>
  </si>
  <si>
    <t>C:\Users\wubia\OneDrive - Longi Magnet Australia Pty ltd\Documents - Longi Australia\03 Project Management\Client\MRL\Wodgina\AP0003 Spare Parts</t>
  </si>
  <si>
    <t>LCGF  Trial</t>
  </si>
  <si>
    <t>C:\Users\wubia\OneDrive - Longi Magnet Australia Pty ltd\Documents - Longi Australia\03 Project Management\Client\Magnetite_Mines\The Razorback \AT0031 LCGF  Trial</t>
  </si>
  <si>
    <t xml:space="preserve">LGS-100 </t>
  </si>
  <si>
    <t xml:space="preserve">C:\Users\wubia\OneDrive - Longi Magnet Australia Pty ltd\Documents - Longi Australia\03 Project Management\Client\ALS\ALS Balcata\AQ0046 LGS-100 </t>
  </si>
  <si>
    <t>Cockatoo_Island_Mining</t>
  </si>
  <si>
    <t>Cockatoo_Island</t>
  </si>
  <si>
    <t>Irvine_Island</t>
  </si>
  <si>
    <t>Bathurst_Island</t>
  </si>
  <si>
    <t>C:\Users\wubia\OneDrive - Longi Magnet Australia Pty ltd\Documents - Longi Australia\03 Project Management\Client\Cockatoo_Island_Mining\Cockatoo_Island\AC0019 General Inquiry</t>
  </si>
  <si>
    <t>12935 CP008B DIMS Package</t>
  </si>
  <si>
    <t>C:\Users\wubia\OneDrive - Longi Magnet Australia Pty ltd\Documents - Longi Australia\03 Project Management\Client\SIMEC\MEP 1\AQ0047 12935 CP008B DIMS Package</t>
  </si>
  <si>
    <t>12935 CP008C LJC Package</t>
  </si>
  <si>
    <t>C:\Users\wubia\OneDrive - Longi Magnet Australia Pty ltd\Documents - Longi Australia\03 Project Management\Client\SIMEC\MEP 1\AQ0048 12935 CP008C LJC Package</t>
  </si>
  <si>
    <t>Dry Magnetic Separation Testwork</t>
  </si>
  <si>
    <t>C:\Users\wubia\OneDrive - Longi Magnet Australia Pty ltd\Documents - Longi Australia\03 Project Management\Client\Covalent_Lithium\Mount Holland\AT0032 Dry Magnetic Separation Testwork</t>
  </si>
  <si>
    <t>RCMS Replacement(LJC)</t>
  </si>
  <si>
    <t>C:\Users\wubia\OneDrive - Longi Magnet Australia Pty ltd\Documents - Longi Australia\03 Project Management\Client\FMG\Iron Bridge\AQ0049 RCMS Replacement(LJC)</t>
  </si>
  <si>
    <t>Newman</t>
  </si>
  <si>
    <t>Second LGS500</t>
  </si>
  <si>
    <t>C:\Users\wubia\OneDrive - Longi Magnet Australia Pty ltd\Documents - Longi Australia\03 Project Management\Client\FMG\Newman\AQ0050 Second LGS500</t>
  </si>
  <si>
    <t>Magnetic Separation Testwork</t>
  </si>
  <si>
    <t>C:\Users\wubia\OneDrive - Longi Magnet Australia Pty ltd\Documents - Longi Australia\03 Project Management\Client\Cockatoo_Island_Mining\Cockatoo_Island\AT0033 Magnetic Separation Testwork</t>
  </si>
  <si>
    <t>Karawara_Minerals</t>
  </si>
  <si>
    <t>Broula_Magnetite</t>
  </si>
  <si>
    <t>C:\Users\wubia\OneDrive - Longi Magnet Australia Pty ltd\Documents - Longi Australia\03 Project Management\Client\Karawara_Minerals\Broula_Magnetite\AC0020 General Inquiry</t>
  </si>
  <si>
    <t>WHIMS Protection LIMS</t>
  </si>
  <si>
    <t>Roy_Hill</t>
  </si>
  <si>
    <t>Cyclone OF Recovery Testwork</t>
  </si>
  <si>
    <t>C:\Users\wubia\OneDrive - Longi Magnet Australia Pty ltd\Documents - Longi Australia\03 Project Management\Client\MRL\Mt Marion\AQ0051 WHIMS Protection LIMS</t>
  </si>
  <si>
    <t>C:\Users\wubia\OneDrive - Longi Magnet Australia Pty ltd\Documents - Longi Australia\03 Project Management\Client\Roy_Hill\Roy_Hill\AT0034 Cyclone OF Recovery Testwork</t>
  </si>
  <si>
    <t>Waste Dam</t>
  </si>
  <si>
    <t>Commmonwelth_Hill</t>
  </si>
  <si>
    <t>MS Testworks</t>
  </si>
  <si>
    <t>Metallurgical Testworks</t>
  </si>
  <si>
    <t>Dry MS Testwork</t>
  </si>
  <si>
    <t>C:\Users\wubia\OneDrive - Longi Magnet Australia Pty ltd\Documents - Longi Australia\03 Project Management\Client\Young_Steel\Snaefell\AT0035 Metallurgical Testworks</t>
  </si>
  <si>
    <t>C:\Users\wubia\OneDrive - Longi Magnet Australia Pty ltd\Documents - Longi Australia\03 Project Management\Client\Young_Steel\Waste Dam\AT0036 Dry MS Testwork</t>
  </si>
  <si>
    <t>C:\Users\wubia\OneDrive - Longi Magnet Australia Pty ltd\Documents - Longi Australia\03 Project Management\Client\Young_Steel\Commmonwelth_Hill\AT0037 MS Testworks</t>
  </si>
  <si>
    <t>Belinga</t>
  </si>
  <si>
    <t>C:\Users\wubia\OneDrive - Longi Magnet Australia Pty ltd\Documents - Longi Australia\03 Project Management\Client\FMG\Belinga\AT0038 General Inquiry</t>
  </si>
  <si>
    <t>C:\Users\wubia\OneDrive - Longi Magnet Australia Pty ltd\Documents - Longi Australia\03 Project Management\Client\Karawara_Minerals\Broula_Magnetite\AT0039 Magnetic Separation Trial</t>
  </si>
  <si>
    <t>AT0029</t>
  </si>
  <si>
    <t>AQ0037</t>
  </si>
  <si>
    <t>AQ0038</t>
  </si>
  <si>
    <t>AQ0040</t>
  </si>
  <si>
    <t>AQ0041</t>
  </si>
  <si>
    <t>AQ0042</t>
  </si>
  <si>
    <t>AT0030</t>
  </si>
  <si>
    <t>AQ0044</t>
  </si>
  <si>
    <t>AQ0045</t>
  </si>
  <si>
    <t>AP0003</t>
  </si>
  <si>
    <t>AQ0047</t>
  </si>
  <si>
    <t>AQ0048</t>
  </si>
  <si>
    <t>AQ0050</t>
  </si>
  <si>
    <t>AQ0051</t>
  </si>
  <si>
    <t>Mayur</t>
  </si>
  <si>
    <t>Orokolo_Bay</t>
  </si>
  <si>
    <t>RFQ-004 LIMS</t>
  </si>
  <si>
    <t>C:\Users\wubia\OneDrive - Longi Magnet Australia Pty ltd\Documents - Longi Australia\03 Project Management\Client\Mayur\Orokolo_Bay\AQ0052 RFQ-004 LIMS</t>
  </si>
  <si>
    <t>C:\Users\wubia\OneDrive - Longi Magnet Australia Pty ltd\Documents - Longi Australia\03 Project Management\Client\Magnetite_Mines\The Razorback \AT0040 Dry Magnetic Separation Testwork</t>
  </si>
  <si>
    <t>C:\Users\wubia\OneDrive - Longi Magnet Australia Pty ltd\Documents - Longi Australia\03 Project Management\Client\FMG\Christmas Creek \AS0010 WHIMS Service</t>
  </si>
  <si>
    <t>Dry Magnetic Separation Drum Replacement</t>
  </si>
  <si>
    <t>C:\Users\wubia\OneDrive - Longi Magnet Australia Pty ltd\Documents - Longi Australia\03 Project Management\Client\FMG\Iron Bridge\AQ0053 Dry Magnetic Separation Drum Replacement</t>
  </si>
  <si>
    <t>C:\Users\wubia\OneDrive - Longi Magnet Australia Pty ltd\Documents - Longi Australia\03 Project Management\Client\MRL\Wodgina\AT0041 WHIMS Testwork</t>
  </si>
  <si>
    <t>Kings</t>
  </si>
  <si>
    <t xml:space="preserve"> OPF Tails Scavenging Testwork</t>
  </si>
  <si>
    <t>C:\Users\wubia\OneDrive - Longi Magnet Australia Pty ltd\Documents - Longi Australia\03 Project Management\Client\FMG\Kings\AC0021  OPF Tails Scavenging Testwork</t>
  </si>
  <si>
    <t>RFP - PP007 - MRL3468 MS (LIMS) - Train 4</t>
  </si>
  <si>
    <t>RFP - PP007 - MRL3468 MS (WHIMS) - Train 4</t>
  </si>
  <si>
    <t>C:\Users\wubia\OneDrive - Longi Magnet Australia Pty ltd\Documents - Longi Australia\03 Project Management\Client\MRL\Wodgina\AQ0054 RFP - PP007 - MRL3468 MS (LIMS) - Train 4</t>
  </si>
  <si>
    <t>C:\Users\wubia\OneDrive - Longi Magnet Australia Pty ltd\Documents - Longi Australia\03 Project Management\Client\MRL\Wodgina\AQ0055 RFP - PP007 - MRL3468 MS (WHIMS) - Train 4</t>
  </si>
  <si>
    <t>C:\Users\wubia\OneDrive - Longi Magnet Australia Pty ltd\Documents - Longi Australia\03 Project Management\Client\FMG\Kings\AC0022 KV Tails Scavenging Testwork</t>
  </si>
  <si>
    <t>Magnetite and Hematite</t>
  </si>
  <si>
    <t>Coarse DMS Cons MS Testwork</t>
  </si>
  <si>
    <t>C:\Users\wubia\OneDrive - Longi Magnet Australia Pty ltd\Documents - Longi Australia\03 Project Management\Client\Covalent_Lithium\Mount Holland\AT0043 Coarse DMS Cons MS Testwork</t>
  </si>
  <si>
    <t>Fine Flotation Study</t>
  </si>
  <si>
    <t>Minovo</t>
  </si>
  <si>
    <t>C:\Users\wubia\OneDrive - Longi Magnet Australia Pty ltd\Documents - Longi Australia\03 Project Management\Client\MRL\Mt Marion\AQ0057 Fine Flotation Study</t>
  </si>
  <si>
    <t>Magnetic Separation Trial(LCGF)</t>
  </si>
  <si>
    <t>C:\Users\wubia\OneDrive - Longi Magnet Australia Pty ltd\Documents - Longi Australia\03 Project Management\Client\Riotinto\Green Steel\AT0044 Magnetic Separation Trial(LCGF)</t>
  </si>
  <si>
    <t>Q4'24 WHIMS Testwork</t>
  </si>
  <si>
    <t>C:\Users\wubia\OneDrive - Longi Magnet Australia Pty ltd\Documents - Longi Australia\03 Project Management\Client\Riotinto\Green Steel\AT0042 Q4'24 WHIMS Testwork</t>
  </si>
  <si>
    <t>Modular Concentrator Conceptual Study(FOC)</t>
  </si>
  <si>
    <t>Paraburdoo</t>
  </si>
  <si>
    <t>Channar</t>
  </si>
  <si>
    <t>Eastern Range</t>
  </si>
  <si>
    <t>Marandoo</t>
  </si>
  <si>
    <t>Brockman 4</t>
  </si>
  <si>
    <t>Nammuldi</t>
  </si>
  <si>
    <t>Western Turner Syncline</t>
  </si>
  <si>
    <t>Sivergrass</t>
  </si>
  <si>
    <t>West Angelas</t>
  </si>
  <si>
    <t>Hope Downs 1</t>
  </si>
  <si>
    <t>Hope Downs 4</t>
  </si>
  <si>
    <t>Yandicoogina</t>
  </si>
  <si>
    <t>Robe Valley(Mesa A)</t>
  </si>
  <si>
    <t>Robe Valley(Mesa J)</t>
  </si>
  <si>
    <t>Unknown</t>
  </si>
  <si>
    <t>DHHI</t>
  </si>
  <si>
    <t>C:\Users\wubia\OneDrive - Longi Magnet Australia Pty ltd\Documents - Longi Australia\03 Project Management\Client\Riotinto\Unknown\AQ0058 Modular Concentrator Conceptual Study(FOC)</t>
  </si>
  <si>
    <t>Coarse MS Testwork</t>
  </si>
  <si>
    <t>Ganfeng</t>
  </si>
  <si>
    <t>C:\Users\wubia\OneDrive - Longi Magnet Australia Pty ltd\Documents - Longi Australia\03 Project Management\Client\MRL\Mt Marion\AT0045 Coarse MS Testwork</t>
  </si>
  <si>
    <t>Agile_Mining</t>
  </si>
  <si>
    <t>Commonwelth_Hill</t>
  </si>
  <si>
    <t>C:\Users\wubia\OneDrive - Longi Magnet Australia Pty ltd\Documents - Longi Australia\03 Project Management\Client\Agile_Mining\Commonwelth_Hill\AC0022 General Inquiry</t>
  </si>
  <si>
    <t>Warehouse</t>
  </si>
  <si>
    <t>LMA</t>
  </si>
  <si>
    <t>LGS-100</t>
  </si>
  <si>
    <t>C:\Users\wubia\OneDrive - Longi Magnet Australia Pty ltd\Documents - Longi Australia\03 Project Management\Client\LMA\Warehouse\AQ0059 LGS-100</t>
  </si>
  <si>
    <t>Mauritania</t>
  </si>
  <si>
    <t>El Aouj Project in Mauritania</t>
  </si>
  <si>
    <t>C:\Users\wubia\OneDrive - Longi Magnet Australia Pty ltd\Documents - Longi Australia\03 Project Management\Client\MRL\Mauritania\AQ0060 El Aouj Project in Mauritania</t>
  </si>
  <si>
    <t>Venus_Metals</t>
  </si>
  <si>
    <t>Younami_Gabbro_Project</t>
  </si>
  <si>
    <t>Base Metal</t>
  </si>
  <si>
    <t>C:\Users\wubia\OneDrive - Longi Magnet Australia Pty ltd\Documents - Longi Australia\03 Project Management\Client\Venus_Metals\Younami_Gabbro_Project\AT0046 Metallurgical Testworks</t>
  </si>
  <si>
    <t>C:\Users\wubia\OneDrive - Longi Magnet Australia Pty ltd\Documents - Longi Australia\03 Project Management\Client\Agile_Mining\Commonwelth_Hill\AT0047 Magnetic Separation Testwork</t>
  </si>
  <si>
    <t>Allup_Silica</t>
  </si>
  <si>
    <t>McLaren_Project</t>
  </si>
  <si>
    <t>IHC</t>
  </si>
  <si>
    <t>LIMS(IHC JN561)</t>
  </si>
  <si>
    <t>C:\Users\wubia\OneDrive - Longi Magnet Australia Pty ltd\Documents - Longi Australia\03 Project Management\Client\Allup_Silica\McLaren_Project\AQ0061 LIMS(IHC JN561)</t>
  </si>
  <si>
    <t>Stationary Tramp Iron Magnet</t>
  </si>
  <si>
    <t>C:\Users\wubia\OneDrive - Longi Magnet Australia Pty ltd\Documents - Longi Australia\03 Project Management\Client\MRL\TBA\AQ0062 Stationary Tramp Iron Magnet</t>
  </si>
  <si>
    <t>C:\Users\wubia\OneDrive - Longi Magnet Australia Pty ltd\Documents - Longi Australia\03 Project Management\Client\Talison\Greenbush\AS0011 General Service</t>
  </si>
  <si>
    <t>Replace MSR2301 and MSR3301</t>
  </si>
  <si>
    <t>Glencore</t>
  </si>
  <si>
    <t xml:space="preserve">Ravensworth_Coal </t>
  </si>
  <si>
    <t>McArthur_River </t>
  </si>
  <si>
    <t>Murrin_Murrin</t>
  </si>
  <si>
    <t>Aurukun_Bauxite</t>
  </si>
  <si>
    <t>C:\Users\wubia\OneDrive - Longi Magnet Australia Pty ltd\Documents - Longi Australia\03 Project Management\Client\Glencore\Ravensworth_Coal \AQ0063 Replace MSR2301 and MSR3301</t>
  </si>
  <si>
    <t>LJK Package For CV301</t>
  </si>
  <si>
    <t>C:\Users\wubia\OneDrive - Longi Magnet Australia Pty ltd\Documents - Longi Australia\03 Project Management\Client\FMG\Iron Bridge\AQ0064 LJK Package For CV301</t>
  </si>
  <si>
    <t>Green Steel Pilot Plant</t>
  </si>
  <si>
    <t>C:\Users\wubia\OneDrive - Longi Magnet Australia Pty ltd\Documents - Longi Australia\03 Project Management\Client\FMG\Christmas Creek \AQ0065 Green Steel Pilot Plant</t>
  </si>
  <si>
    <t>Silica_Resources_Australia</t>
  </si>
  <si>
    <t>Mourilya_ Silica_Sands_Project</t>
  </si>
  <si>
    <t>Bravus_Mining&amp;Resuroces</t>
  </si>
  <si>
    <t>Carmichael_coal</t>
  </si>
  <si>
    <t xml:space="preserve">Huntore_Australia </t>
  </si>
  <si>
    <t xml:space="preserve">Mt_Veteran </t>
  </si>
  <si>
    <t>Delta_Lithium</t>
  </si>
  <si>
    <t>Yinnetharra</t>
  </si>
  <si>
    <t>Tin</t>
  </si>
  <si>
    <t>Primero</t>
  </si>
  <si>
    <t>2024.10.16</t>
  </si>
  <si>
    <t>2024.10.21</t>
  </si>
  <si>
    <t>Carmichael</t>
  </si>
  <si>
    <t xml:space="preserve">HMDS Drum </t>
  </si>
  <si>
    <t xml:space="preserve"> Process Plant Reinstatement Project</t>
  </si>
  <si>
    <t>Yinnetharra Project PFS-LIMS</t>
  </si>
  <si>
    <t>C:\Users\wubia\OneDrive - Longi Magnet Australia Pty ltd\Documents - Longi Australia\03 Project Management\Client\Silica_Resources_Australia\Mourilya_ Silica_Sands_Project\AC0023 General Inquiry</t>
  </si>
  <si>
    <t xml:space="preserve">C:\Users\wubia\OneDrive - Longi Magnet Australia Pty ltd\Documents - Longi Australia\03 Project Management\Client\Bravus_Mining&amp;Resuroces\Carmichael\AQ0066 HMDS Drum </t>
  </si>
  <si>
    <t>C:\Users\wubia\OneDrive - Longi Magnet Australia Pty ltd\Documents - Longi Australia\03 Project Management\Client\Delta_Lithium\Yinnetharra\AQ0068 Yinnetharra Project PFS-LIMS</t>
  </si>
  <si>
    <t>C:\Users\wubia\OneDrive - Longi Magnet Australia Pty ltd\Documents - Longi Australia\03 Project Management\Client\Huntore_Australia\Mt_Veteran\AQ0067  Process Plant Reinstatement Project</t>
  </si>
  <si>
    <t>AT0041</t>
  </si>
  <si>
    <t>AQ0054</t>
  </si>
  <si>
    <t>AQ0055</t>
  </si>
  <si>
    <t>AQ0056</t>
  </si>
  <si>
    <t>AQ0057</t>
  </si>
  <si>
    <t>AQ0058</t>
  </si>
  <si>
    <t>AT0045</t>
  </si>
  <si>
    <t>AQ0060</t>
  </si>
  <si>
    <t>AQ0062</t>
  </si>
  <si>
    <t>AQ0063</t>
  </si>
  <si>
    <t>AQ0066</t>
  </si>
  <si>
    <t>AQ0067</t>
  </si>
  <si>
    <t>AQ0068</t>
  </si>
  <si>
    <t>DIMS LJK Tramp Magnet Package</t>
  </si>
  <si>
    <t>Tails Recovery Project</t>
  </si>
  <si>
    <t>C:\Users\wubia\OneDrive - Longi Magnet Australia Pty ltd\Documents - Longi Australia\03 Project Management\Client\SIMEC\MEP 1\AQ0069 DIMS LJK Tramp Magnet Package</t>
  </si>
  <si>
    <t>C:\Users\wubia\OneDrive - Longi Magnet Australia Pty ltd\Documents - Longi Australia\03 Project Management\Client\SIMEC\Hematite\AC0024 Tails Recovery Project</t>
  </si>
  <si>
    <t>Northern_Mineral</t>
  </si>
  <si>
    <t>Browns_Range</t>
  </si>
  <si>
    <t>John_Galt</t>
  </si>
  <si>
    <t>Boulder_Ridge</t>
  </si>
  <si>
    <t>Heavy Rare Earth Project  HGMS (CP085)</t>
  </si>
  <si>
    <t>2024.11.07</t>
  </si>
  <si>
    <t>C:\Users\wubia\OneDrive - Longi Magnet Australia Pty ltd\Documents - Longi Australia\03 Project Management\Client\Northern_Mineral\Browns_Range\AQ0070 Heavy Rare Earth Project  HGMS (CP085)</t>
  </si>
  <si>
    <t>Aurora_Construction_Materials</t>
  </si>
  <si>
    <t>Quarry</t>
  </si>
  <si>
    <t>Static Magnet</t>
  </si>
  <si>
    <t>2024.11.05</t>
  </si>
  <si>
    <t>2024.11.13</t>
  </si>
  <si>
    <t>CGP3 spares</t>
  </si>
  <si>
    <t>2024.11.14</t>
  </si>
  <si>
    <t>C:\Users\wubia\OneDrive - Longi Magnet Australia Pty ltd\Documents - Longi Australia\03 Project Management\Client\Talison\Greenbush\AQ0072 CGP3 spares</t>
  </si>
  <si>
    <t>C:\Users\wubia\OneDrive - Longi Magnet Australia Pty ltd\Documents - Longi Australia\03 Project Management\Client\Aurora_Construction_Materials\Quarry\AQ0071 Static Magnet</t>
  </si>
  <si>
    <t>Savannah_Resources</t>
  </si>
  <si>
    <t>B069-D02-07280-RQ-0001(WHIMS &amp; LIMS)</t>
  </si>
  <si>
    <t>2024.11.20</t>
  </si>
  <si>
    <t>2024.11.22</t>
  </si>
  <si>
    <t>C:\Users\wubia\OneDrive - Longi Magnet Australia Pty ltd\Documents - Longi Australia\03 Project Management\Client\ Savannah_Resources\Barroso Lithium Project(Portugal)\AQ0073 B069-D02-07280-RQ-0001(WHIMS &amp; LIMS)</t>
  </si>
  <si>
    <t>Barroso_Lithium_Project(Portugal)</t>
  </si>
  <si>
    <t xml:space="preserve">El Aouj Project LJK </t>
  </si>
  <si>
    <t>Tungsten_Mining</t>
  </si>
  <si>
    <t>Mt_Mulgine</t>
  </si>
  <si>
    <t>Big_Hill</t>
  </si>
  <si>
    <t>Kilba</t>
  </si>
  <si>
    <t>Watershed</t>
  </si>
  <si>
    <t>Hatches_Creek</t>
  </si>
  <si>
    <t>Tungsten</t>
  </si>
  <si>
    <t xml:space="preserve">C:\Users\wubia\OneDrive - Longi Magnet Australia Pty ltd\Documents - Longi Australia\03 Project Management\Client\MRL\Mauritania\AQ0074 El Aouj Project LJK </t>
  </si>
  <si>
    <t>C:\Users\wubia\OneDrive - Longi Magnet Australia Pty ltd\Documents - Longi Australia\03 Project Management\Client\Tungsten_Mining\Mt_Mulgine\AC0025 General Inquiry</t>
  </si>
  <si>
    <t>MALDORKY</t>
  </si>
  <si>
    <t>GRANTS_GRANTS_BASIN</t>
  </si>
  <si>
    <t>Havilah_Resources</t>
  </si>
  <si>
    <t>C:\Users\wubia\OneDrive - Longi Magnet Australia Pty ltd\Documents - Longi Australia\03 Project Management\Client\Havilah_Resources\GRANTS_GRANTS_BASIN\AC0026 General Inquiry</t>
  </si>
  <si>
    <t>Dome_Gold</t>
  </si>
  <si>
    <t>Sigatoka_Ironsands_Project</t>
  </si>
  <si>
    <t>C:\Users\wubia\OneDrive - Longi Magnet Australia Pty ltd\Documents - Longi Australia\03 Project Management\Client\Dome_Gold\Sigatoka_Ironsands_Project\AT0048 Metallurgical Testworks</t>
  </si>
  <si>
    <t>LJC300 Modelar Plant Trial</t>
  </si>
  <si>
    <t>C:\Users\wubia\OneDrive - Longi Magnet Australia Pty ltd\Documents - Longi Australia\03 Project Management\Client\Grange\Savage River\AQ0075 LJC300 Modelar Plant Trial</t>
  </si>
  <si>
    <t>Pretreatment Facility</t>
  </si>
  <si>
    <t>HASTING</t>
  </si>
  <si>
    <t>Yangibana</t>
  </si>
  <si>
    <t>Iondrive</t>
  </si>
  <si>
    <t>Low capacity LIMS units</t>
  </si>
  <si>
    <t>Lithum-battery recycling</t>
  </si>
  <si>
    <t>C:\Users\wubia\OneDrive - Longi Magnet Australia Pty ltd\Documents - Longi Australia\03 Project Management\Client\Iondrive\Pretreatment Facility\AQ0076 Low capacity LIMS units</t>
  </si>
  <si>
    <t>Tailing sample MS test</t>
  </si>
  <si>
    <t>C:\Users\wubia\OneDrive - Longi Magnet Australia Pty ltd\Documents - Longi Australia\03 Project Management\Client\HASTING\Yangibana\AT0049 Tailing sample MS test</t>
  </si>
  <si>
    <t>Hawsons_Iron</t>
  </si>
  <si>
    <t>Hawsons Iron Project</t>
  </si>
  <si>
    <t>CMD Consulting</t>
  </si>
  <si>
    <t>HAWSONS Dry Mag Separation</t>
  </si>
  <si>
    <t>C:\Users\wubia\OneDrive - Longi Magnet Australia Pty ltd\Documents - Longi Australia\03 Project Management\Client\Hawsons_Iron\Hawsons Iron Project\AT0050 HAWSONS Dry Mag Separation</t>
  </si>
  <si>
    <t>Hematite Dry Mag Sep</t>
  </si>
  <si>
    <t>Eliwana</t>
  </si>
  <si>
    <t>C:\Users\wubia\OneDrive - Longi Magnet Australia Pty ltd\Documents - Longi Australia\03 Project Management\Client\FMG\Eliwana\AT0051 Hematite Dry Mag Sep</t>
  </si>
  <si>
    <t>Kalkaroo</t>
  </si>
  <si>
    <t>Mutooroo</t>
  </si>
  <si>
    <t>Prospect Hill</t>
  </si>
  <si>
    <t>C:\Users\wubia\OneDrive - Longi Magnet Australia Pty ltd\Documents - Longi Australia\03 Project Management\Client\Havilah_Resources\GRANTS_GRANTS_BASIN\AT0052 Dry Magnetic Separation Testwork</t>
  </si>
  <si>
    <t>Terra_mining</t>
  </si>
  <si>
    <t>C:\Users\wubia\OneDrive - Longi Magnet Australia Pty ltd\Documents - Longi Australia\03 Project Management\Client\Terra_mining\Extension Hill\AS0012 LCGJ DMS</t>
  </si>
  <si>
    <t>Group6Metals</t>
  </si>
  <si>
    <t>Dolphin Tungsten Mine</t>
  </si>
  <si>
    <t>Tungsten WHIMS  Testwork</t>
  </si>
  <si>
    <t>ISOE</t>
  </si>
  <si>
    <t>C:\Users\wubia\OneDrive - Longi Magnet Australia Pty ltd\Documents - Longi Australia\03 Project Management\Client\Group6Metals\Dolphin Tungsten Mine\AT0053 Tungsten WHIMS  Testwork</t>
  </si>
  <si>
    <t>High Strength Dry Mag Separation Mod Plant</t>
  </si>
  <si>
    <t>HDMS Drum Assembly</t>
  </si>
  <si>
    <t>RMEM</t>
  </si>
  <si>
    <t>Vytas</t>
  </si>
  <si>
    <t>Ultra High Grade Quartz</t>
  </si>
  <si>
    <t>Dry Eletromagnet Filter Enquiry</t>
  </si>
  <si>
    <t>Demag-Coil</t>
  </si>
  <si>
    <t>C:\Users\wubia\OneDrive - Longi Magnet Australia Pty ltd\Documents - Longi Australia\03 Project Management\Client\Cockatoo_Island_Mining\Cockatoo_Island\AQ0077 High Strength Dry Mag Separation Mod Plant</t>
  </si>
  <si>
    <t>C:\Users\wubia\OneDrive - Longi Magnet Australia Pty ltd\Documents - Longi Australia\03 Project Management\Client\BV\BV Perth\AQ0079 Demag-Coil</t>
  </si>
  <si>
    <t>C:\Users\wubia\OneDrive - Longi Magnet Australia Pty ltd\Documents - Longi Australia\03 Project Management\Client\MRL\Mt Marion\AQ0078 HDMS Drum Assembly</t>
  </si>
  <si>
    <t>C:\Users\wubia\OneDrive - Longi Magnet Australia Pty ltd\Documents - Longi Australia\03 Project Management\Client\Vytas\Ultra High Grade Quartz\AT0054 Dry Eletromagnet Filter Enquiry</t>
  </si>
  <si>
    <t>Dragon</t>
  </si>
  <si>
    <t>Tramp Magnet and Metal Detector</t>
  </si>
  <si>
    <t>C:\Users\wubia\OneDrive - Longi Magnet Australia Pty ltd\Documents - Longi Australia\03 Project Management\Client\FMG\Dragon\AQ0080 Tramp Magnet and Metal Detector</t>
  </si>
  <si>
    <t>CY25 LJC Testwork</t>
  </si>
  <si>
    <t>Second batch magnetite Testowrk</t>
  </si>
  <si>
    <t>Leejun HPGR product</t>
  </si>
  <si>
    <t>C:\Users\wubia\OneDrive - Longi Magnet Australia Pty ltd\Documents - Longi Australia\03 Project Management\Client\Grange\Savage River\AT0055 CY25 LJC Testwork</t>
  </si>
  <si>
    <t>C:\Users\wubia\OneDrive - Longi Magnet Australia Pty ltd\Documents - Longi Australia\03 Project Management\Client\Young_Steel\Snaefell\AT0056 Second batch magnetite Testowrk</t>
  </si>
  <si>
    <t>C:\Users\wubia\OneDrive - Longi Magnet Australia Pty ltd\Documents - Longi Australia\03 Project Management\Client\Young_Steel\Snaefell\AT0057 Leejun HPGR product</t>
  </si>
  <si>
    <t>Upgrade Tramp Magnets Assembly Binduli</t>
  </si>
  <si>
    <t>One-off Discount to Support MG201 Replacement</t>
  </si>
  <si>
    <t xml:space="preserve"> DMS Replacement Unit</t>
  </si>
  <si>
    <t xml:space="preserve"> Second DMS Modular Plant (DMS Assembly &amp; Platform)</t>
  </si>
  <si>
    <t>C:\Users\wubia\OneDrive - Longi Magnet Australia Pty ltd\Documents - Longi Australia\03 Project Management\Client\Norton\Binduli\AQ0081 Upgrade Tramp Magnets Assembly Binduli</t>
  </si>
  <si>
    <t>C:\Users\wubia\OneDrive - Longi Magnet Australia Pty ltd\Documents - Longi Australia\03 Project Management\Client\Norton\Binduli\AQ0082 One-off Discount to Support MG201 Replacement</t>
  </si>
  <si>
    <t>C:\Users\wubia\OneDrive - Longi Magnet Australia Pty ltd\Documents - Longi Australia\03 Project Management\Client\Terra_mining\Extension Hill\AQ0083  DMS Replacement Unit</t>
  </si>
  <si>
    <t>C:\Users\wubia\OneDrive - Longi Magnet Australia Pty ltd\Documents - Longi Australia\03 Project Management\Client\Terra_mining\Extension Hill\AQ0084  Second DMS Modular Plant (DMS Assembly &amp; Platform)</t>
  </si>
  <si>
    <t>AT0020</t>
  </si>
  <si>
    <t>AQ0049</t>
  </si>
  <si>
    <t>AT0038</t>
  </si>
  <si>
    <t>AS0010</t>
  </si>
  <si>
    <t>AQ0053</t>
  </si>
  <si>
    <t>AC0021</t>
  </si>
  <si>
    <t>AQ0064</t>
  </si>
  <si>
    <t>AQ0065</t>
  </si>
  <si>
    <t>AQ0017</t>
  </si>
  <si>
    <t>AQ0020</t>
  </si>
  <si>
    <t>AQ0027</t>
  </si>
  <si>
    <t>AQ0039</t>
  </si>
  <si>
    <t>AQ0043</t>
  </si>
  <si>
    <t>AQ0046</t>
  </si>
  <si>
    <t>AQ0052</t>
  </si>
  <si>
    <t>AQ0059</t>
  </si>
  <si>
    <t>AQ0061</t>
  </si>
  <si>
    <t>AQ0071</t>
  </si>
  <si>
    <t>AQ0072</t>
  </si>
  <si>
    <t>AQ0073</t>
  </si>
  <si>
    <t>AQ0078</t>
  </si>
  <si>
    <t>AQ0074</t>
  </si>
  <si>
    <t>AT0051</t>
  </si>
  <si>
    <t>AQ0080</t>
  </si>
  <si>
    <t>AC0024</t>
  </si>
  <si>
    <t>AQ0070</t>
  </si>
  <si>
    <t>AQ0076</t>
  </si>
  <si>
    <t>AT0049</t>
  </si>
  <si>
    <t>AQ0081</t>
  </si>
  <si>
    <t>AQ0082</t>
  </si>
  <si>
    <t>AQ0069</t>
  </si>
  <si>
    <t>AQ0075</t>
  </si>
  <si>
    <t>AQ0077</t>
  </si>
  <si>
    <t>AQ0079</t>
  </si>
  <si>
    <t>AQ0083</t>
  </si>
  <si>
    <t>AQ0084</t>
  </si>
  <si>
    <t>Momo</t>
  </si>
  <si>
    <t>HY_Mineral</t>
  </si>
  <si>
    <t>C:\Users\wubia\OneDrive - Longi Magnet Australia Pty ltd\Documents - Longi Australia\03 Project Management\Client\HY_Mineral\Momo\AT0058 Metallurgical Testworks</t>
  </si>
  <si>
    <t>Karlawinda Expansion</t>
  </si>
  <si>
    <t>Capricorn_Metals</t>
  </si>
  <si>
    <t>828 - Tramp Metal Magnet</t>
  </si>
  <si>
    <t>MACA Interquip Mintrex</t>
  </si>
  <si>
    <t>C:\Users\wubia\OneDrive - Longi Magnet Australia Pty ltd\Documents - Longi Australia\03 Project Management\Client\Capricorn_Metals\Karlawinda Expansion\AQ0085 828 - Tramp Metal Magnet</t>
  </si>
  <si>
    <t>Jaw Crusher Operation Platform</t>
  </si>
  <si>
    <t>Dry Mag Separation Platform(batch 2)</t>
  </si>
  <si>
    <t>C:\Users\wubia\OneDrive - Longi Magnet Australia Pty ltd\Documents - Longi Australia\03 Project Management\Client\Terra_mining\Extension Hill\AQ0086 Dry Mag Separation Platform(batch 2)</t>
  </si>
  <si>
    <t>C:\Users\wubia\OneDrive - Longi Magnet Australia Pty ltd\Documents - Longi Australia\03 Project Management\Client\BV\BV Perth\AQ0087 Jaw Crusher Operation Platform</t>
  </si>
  <si>
    <t>YINGHUI_INTERNATIONAL</t>
  </si>
  <si>
    <t>Recycling  belt magnet</t>
  </si>
  <si>
    <t>Recycling plant RCY-C65  Belt Magnet</t>
  </si>
  <si>
    <t>C:\Users\wubia\OneDrive - Longi Magnet Australia Pty ltd\Documents - Longi Australia\03 Project Management\Client\YINGHUI_INTERNATIONAL\Recycling  belt magnet\AQ0088 Recycling plant RCY-C65  Belt Magnet</t>
  </si>
  <si>
    <t>AP0005-001</t>
  </si>
  <si>
    <t>Waiting for order</t>
  </si>
  <si>
    <t>CGP3 2025</t>
  </si>
  <si>
    <t>C:\Users\wubia\OneDrive - Longi Magnet Australia Pty ltd\Documents - Longi Australia\03 Project Management\Client\Talison\Greenbush\AP0004 CGP3 2025</t>
  </si>
  <si>
    <t>C:\Users\wubia\OneDrive - Longi Magnet Australia Pty ltd\Documents - Longi Australia\03 Project Management\Client\Norton\Binduli\AS0013 General Service</t>
  </si>
  <si>
    <t>3rd DMS Unit</t>
  </si>
  <si>
    <t>AS0013</t>
  </si>
  <si>
    <t>AQ0085</t>
  </si>
  <si>
    <t>AQ0086</t>
  </si>
  <si>
    <t>AQ0087</t>
  </si>
  <si>
    <t>AQ0088</t>
  </si>
  <si>
    <t>AQ0089</t>
  </si>
  <si>
    <t>Northern Iron</t>
  </si>
  <si>
    <t>Northern_Iron</t>
  </si>
  <si>
    <t>Iron Concentrate Desliming project</t>
  </si>
  <si>
    <t>C:\Users\wubia\OneDrive - Longi Magnet Australia Pty ltd\Documents - Longi Australia\03 Project Management\Client\Terra_mining\Extension Hill\AQ0089 3rd DMS Unit</t>
  </si>
  <si>
    <t>C:\Users\wubia\OneDrive - Longi Magnet Australia Pty ltd\Documents - Longi Australia\03 Project Management\Client\Northern_Iron\Northern Iron\AQ0090 Iron Concentrate Desliming project</t>
  </si>
  <si>
    <t>Crimson_Metals</t>
  </si>
  <si>
    <t xml:space="preserve">MT GIBSON GOLD </t>
  </si>
  <si>
    <t>CPC ENGINEERING</t>
  </si>
  <si>
    <t>Mt Gibson Gold Project Tramp Magents</t>
  </si>
  <si>
    <t>C:\Users\wubia\OneDrive - Longi Magnet Australia Pty ltd\Documents - Longi Australia\03 Project Management\Client\Crimson_Metals\MT GIBSON GOLD \AQ0091 Mt Gibson Gold Project Tramp Magents</t>
  </si>
  <si>
    <t>Tanbreez_Mining</t>
  </si>
  <si>
    <t>Tanbreez Project</t>
  </si>
  <si>
    <t>Green_Capital</t>
  </si>
  <si>
    <t>Mt Magnet Project</t>
  </si>
  <si>
    <t>C:\Users\wubia\OneDrive - Longi Magnet Australia Pty ltd\Documents - Longi Australia\03 Project Management\Client\Tanbreez_Mining\Tanbreez Project\AC0027 General Inquiry</t>
  </si>
  <si>
    <t>C:\Users\wubia\OneDrive - Longi Magnet Australia Pty ltd\Documents - Longi Australia\03 Project Management\Client\Green_Capital\Mt Magnet Project\AC0028 General Inquiry</t>
  </si>
  <si>
    <t>总计</t>
  </si>
  <si>
    <t>(全部)</t>
  </si>
  <si>
    <t>Wolverine Project 12874 CP004 – MAGNETS</t>
  </si>
  <si>
    <t>C:\Users\wubia\OneDrive - Longi Magnet Australia Pty ltd\Documents - Longi Australia\03 Project Management\Client\Northern_Mineral\Browns_Range\AQ0092 Wolverine Project 12874 CP004 – MAGNETS</t>
  </si>
  <si>
    <t>AVL CV002 Mag Sep-</t>
  </si>
  <si>
    <t xml:space="preserve">Peko </t>
  </si>
  <si>
    <t>PEKO project General Enquiry</t>
  </si>
  <si>
    <t>C:\Users\wubia\OneDrive - Longi Magnet Australia Pty ltd\Documents - Longi Australia\03 Project Management\Client\AVL\The Australian Vanadium Project\AQ0093 AVL CV002 Mag Sep-</t>
  </si>
  <si>
    <t>C:\Users\wubia\OneDrive - Longi Magnet Australia Pty ltd\Documents - Longi Australia\03 Project Management\Client\Young_Steel\Peko \AC0029 PEKO project General Enquiry</t>
  </si>
  <si>
    <t>Halleck Creek</t>
  </si>
  <si>
    <t>Wyoming_Rare_USA</t>
  </si>
  <si>
    <t>C:\Users\wubia\OneDrive - Longi Magnet Australia Pty ltd\Documents - Longi Australia\03 Project Management\Client\Wyoming_Rare_USA\Halleck Creek\AC0030 General Inquiry</t>
  </si>
  <si>
    <t>BCI</t>
  </si>
  <si>
    <t>Mardie Salt</t>
  </si>
  <si>
    <t>Emtek</t>
  </si>
  <si>
    <t xml:space="preserve">BCI Stcokyard Belt Magnet </t>
  </si>
  <si>
    <t>Mt Lyell Class 2 FS-CP004-Tramp Metal Magnets</t>
  </si>
  <si>
    <t>Mt Lyell Class 2</t>
  </si>
  <si>
    <t>Sibanye_Stillwater</t>
  </si>
  <si>
    <t>2679 Sand Washing and Magnetite Recovery Plant</t>
  </si>
  <si>
    <t>DMS Drum Skin with lining and end plate</t>
  </si>
  <si>
    <t xml:space="preserve">C:\Users\wubia\OneDrive - Longi Magnet Australia Pty ltd\Documents - Longi Australia\03 Project Management\Client\BCI\Mardie Salt\AQ0094 BCI Stcokyard Belt Magnet </t>
  </si>
  <si>
    <t>C:\Users\wubia\OneDrive - Longi Magnet Australia Pty ltd\Documents - Longi Australia\03 Project Management\Client\Sibanye_Stillwater\Mt Lyell Class 2\AQ0095 Mt Lyell Class 2 FS-CP004-Tramp Metal Magnets</t>
  </si>
  <si>
    <t>C:\Users\wubia\OneDrive - Longi Magnet Australia Pty ltd\Documents - Longi Australia\03 Project Management\Client\Dome_Gold\Sigatoka_Ironsands_Project\AQ0096 2679 Sand Washing and Magnetite Recovery Plant</t>
  </si>
  <si>
    <t>C:\Users\wubia\OneDrive - Longi Magnet Australia Pty ltd\Documents - Longi Australia\03 Project Management\Client\Terra_mining\Extension Hill\AQ0097 DMS Drum Skin with lining and end plate</t>
  </si>
  <si>
    <t xml:space="preserve">Magnetic Separators </t>
  </si>
  <si>
    <t xml:space="preserve">C:\Users\wubia\OneDrive - Longi Magnet Australia Pty ltd\Documents - Longi Australia\03 Project Management\Client\Hawsons_Iron\Hawsons Iron Project\AQ0098 Magnetic Separators </t>
  </si>
  <si>
    <t>Appin Mine</t>
  </si>
  <si>
    <t>Dendrobium Mine</t>
  </si>
  <si>
    <t>GM_3</t>
  </si>
  <si>
    <t>MS Drum Replacement</t>
  </si>
  <si>
    <t>C:\Users\wubia\OneDrive - Longi Magnet Australia Pty ltd\Documents - Longi Australia\03 Project Management\Client\GM_3\Dendrobium Mine\AQ0099 MS Drum Replacement</t>
  </si>
  <si>
    <t>Specialised Metallurgical Services</t>
  </si>
  <si>
    <t>Critica_Limited</t>
  </si>
  <si>
    <t>Jupiter</t>
  </si>
  <si>
    <t>C:\Users\wubia\OneDrive - Longi Magnet Australia Pty ltd\Documents - Longi Australia\03 Project Management\Client\Critica_Limited\Jupiter\AT0059 WHIMS Testwork</t>
  </si>
  <si>
    <t>Pure_Resources</t>
  </si>
  <si>
    <t>Reedy Creek Garnet Project</t>
  </si>
  <si>
    <t>SB Process</t>
  </si>
  <si>
    <t>C:\Users\wubia\OneDrive - Longi Magnet Australia Pty ltd\Documents - Longi Australia\03 Project Management\Client\Pure_Resources\Reedy Creek Garnet Project\AC0031 General Inquiry</t>
  </si>
  <si>
    <t xml:space="preserve">LIMS Testwork </t>
  </si>
  <si>
    <t xml:space="preserve">C:\Users\wubia\OneDrive - Longi Magnet Australia Pty ltd\Documents - Longi Australia\03 Project Management\Client\MRL\Wodgina\AT0060 LIMS Testwork </t>
  </si>
  <si>
    <t>Gonneville Sulphide Processing Facility</t>
  </si>
  <si>
    <t>Chalice_Mining</t>
  </si>
  <si>
    <t>13041-CP008 - Magnetic Separators- PFS</t>
  </si>
  <si>
    <t>MTH-300-ME-RFT-0048 Covalent Expansion Project - WHIMS</t>
  </si>
  <si>
    <t xml:space="preserve"> MTH-300-ME-RFT-0003 Covalent Expansion Project - LIMS</t>
  </si>
  <si>
    <t>DRA</t>
  </si>
  <si>
    <t>C:\Users\wubia\OneDrive - Longi Magnet Australia Pty ltd\Documents - Longi Australia\03 Project Management\Client\Covalent_Lithium\Mount Holland\AQ0101 MTH-300-ME-RFT-0048 Covalent Expansion Project - WHIMS</t>
  </si>
  <si>
    <t>C:\Users\wubia\OneDrive - Longi Magnet Australia Pty ltd\Documents - Longi Australia\03 Project Management\Client\Covalent_Lithium\Mount Holland\AQ0102  MTH-300-ME-RFT-0003 Covalent Expansion Project - LIMS</t>
  </si>
  <si>
    <t>C:\Users\wubia\OneDrive - Longi Magnet Australia Pty ltd\Documents - Longi Australia\03 Project Management\Client\Chalice_Mining\Gonneville Sulphide Processing Facility\AQ0100 13041-CP008 - Magnetic Separators- PFS</t>
  </si>
  <si>
    <t>4th DMS and Platform Assembly</t>
  </si>
  <si>
    <t>C:\Users\wubia\OneDrive - Longi Magnet Australia Pty ltd\Documents - Longi Australia\03 Project Management\Client\Terra_mining\Extension Hill\AQ0103 4th DMS and Platform Assembly</t>
  </si>
  <si>
    <t>ENC Group Rare Earth Pilot Plant</t>
  </si>
  <si>
    <t>C:\Users\wubia\OneDrive - Longi Magnet Australia Pty ltd\Documents - Longi Australia\03 Project Management\Client\Tanbreez_Mining\Tanbreez Project\AQ0104 ENC Group Rare Earth Pilot Plant</t>
  </si>
  <si>
    <t>Ore Sorter Lab Equipment</t>
  </si>
  <si>
    <t>C:\Users\wubia\OneDrive - Longi Magnet Australia Pty ltd\Documents - Longi Australia\03 Project Management\Client\Tanbreez_Mining\Tanbreez Project\AQ0105 Ore Sorter Lab Equipment</t>
  </si>
  <si>
    <t>C:\Users\wubia\OneDrive - Longi Magnet Australia Pty ltd\Documents - Longi Australia\03 Project Management\Client\Athenas_Reource\Byro\AT0061 Metallurgical Testworks</t>
  </si>
  <si>
    <t>Ridge</t>
  </si>
  <si>
    <t>C:\Users\wubia\OneDrive - Longi Magnet Australia Pty ltd\Documents - Longi Australia\03 Project Management\Client\Ridge\TBA\AQ0106 Tramp Metal Magnets(RCDFJ-16-T4)</t>
  </si>
  <si>
    <t>Oscar_Resources</t>
  </si>
  <si>
    <t>Mt Oscar Iron Ore Project</t>
  </si>
  <si>
    <t>Mt Oscar Gold Project</t>
  </si>
  <si>
    <t>Mindax</t>
  </si>
  <si>
    <t>Mt Forrest</t>
  </si>
  <si>
    <t>Mt Lucky</t>
  </si>
  <si>
    <t xml:space="preserve">Meekatharra North </t>
  </si>
  <si>
    <t>C:\Users\wubia\OneDrive - Longi Magnet Australia Pty ltd\Documents - Longi Australia\03 Project Management\Client\Oscar_Resources\Mt Oscar Iron Ore Project\AT0062 Metallurgical Testworks</t>
  </si>
  <si>
    <t>C:\Users\wubia\OneDrive - Longi Magnet Australia Pty ltd\Documents - Longi Australia\03 Project Management\Client\Mindax\Mt Forrest\AC0032 General Inquiry</t>
  </si>
  <si>
    <t>Ridge</t>
    <phoneticPr fontId="5" type="noConversion"/>
  </si>
  <si>
    <t>Tramp Metal Magnets(RCDFJ-16-T4)</t>
    <phoneticPr fontId="5" type="noConversion"/>
  </si>
  <si>
    <t>Mineral</t>
    <phoneticPr fontId="5" type="noConversion"/>
  </si>
  <si>
    <t>SEDGMAN</t>
  </si>
  <si>
    <t>PFS</t>
  </si>
  <si>
    <t>Final Tender</t>
  </si>
  <si>
    <t>C:\Users\wubia\OneDrive - Longi Magnet Australia Pty ltd\Documents - Longi Australia\03 Project Management\Client\Roy_Hill\Roy_Hill\AQ0107 Low Grade Denside Medium Recovery Drum</t>
  </si>
  <si>
    <t>C:\Users\wubia\OneDrive - Longi Magnet Australia Pty ltd\Documents - Longi Australia\03 Project Management\Client\Covalent_Lithium\Mount Holland\AQ0108 CON-EXP-015 LIMS&amp; WHIMS</t>
  </si>
  <si>
    <t>CGP3 Equipment Inspection</t>
  </si>
  <si>
    <t>Terra_Metals</t>
  </si>
  <si>
    <t>Dante</t>
  </si>
  <si>
    <t>C:\Users\wubia\OneDrive - Longi Magnet Australia Pty ltd\Documents - Longi Australia\03 Project Management\Client\Terra_Metals\Dante\AC0033 General Inquiry</t>
  </si>
  <si>
    <t>C:\Users\wubia\OneDrive - Longi Magnet Australia Pty ltd\Documents - Longi Australia\03 Project Management\Client\Hawsons_Iron\Hawsons Iron Project\AT0063 LCGF Pilot Testwork</t>
  </si>
  <si>
    <t>Roy_Hill</t>
    <phoneticPr fontId="5" type="noConversion"/>
  </si>
  <si>
    <t>Mount Holland</t>
    <phoneticPr fontId="5" type="noConversion"/>
  </si>
  <si>
    <t>Low Grade Denside Medium Recovery Drum</t>
    <phoneticPr fontId="5" type="noConversion"/>
  </si>
  <si>
    <t>CON-EXP-015 LIMS&amp; WHIMS</t>
    <phoneticPr fontId="5" type="noConversion"/>
  </si>
  <si>
    <t>LCGZ Lab equipment</t>
  </si>
  <si>
    <t>losche</t>
  </si>
  <si>
    <t>IndiaProject</t>
  </si>
  <si>
    <t>Indian Mag Separation Enquiry</t>
  </si>
  <si>
    <t>Semimobile Cruhsing Magnets</t>
  </si>
  <si>
    <t>Youanmi Gold</t>
  </si>
  <si>
    <t>Youanmi</t>
  </si>
  <si>
    <t xml:space="preserve">Rox_Resources </t>
  </si>
  <si>
    <t>C:\Users\wubia\OneDrive - Longi Magnet Australia Pty ltd\Documents - Longi Australia\03 Project Management\Client\Terra_mining\Extension Hill\AQ0109 LCGZ Lab equipment</t>
  </si>
  <si>
    <t>C:\Users\wubia\OneDrive - Longi Magnet Australia Pty ltd\Documents - Longi Australia\03 Project Management\Client\Norton\Binduli\AQ0111 Semimobile Cruhsing Magnets</t>
  </si>
  <si>
    <t>C:\Users\wubia\OneDrive - Longi Magnet Australia Pty ltd\Documents - Longi Australia\03 Project Management\Client\Loesche\Loesche\AQ0110 Indian Mag Separation Enquiry</t>
  </si>
  <si>
    <t>C:\Users\wubia\OneDrive - Longi Magnet Australia Pty ltd\Documents - Longi Australia\03 Project Management\Client\Karara_Mining\Karara\AT0064 Dry Magnetic Separation Testwork</t>
  </si>
  <si>
    <t>C:\Users\wubia\OneDrive - Longi Magnet Australia Pty ltd\Documents - Longi Australia\03 Project Management\Client\Peak_Iron\Hawks Nest Magnetite\AT0065 Dry Magnetic Separation Testwork</t>
  </si>
  <si>
    <t>Semimobile crushing and Dry mag sepration plant</t>
  </si>
  <si>
    <t>C:\Users\wubia\OneDrive - Longi Magnet Australia Pty ltd\Documents - Longi Australia\03 Project Management\Client\Grange\Savage River\AQ0113 Semimobile crushing and Dry mag sepration plant</t>
  </si>
  <si>
    <t>C:\Users\wubia\OneDrive - Longi Magnet Australia Pty ltd\Documents - Longi Australia\03 Project Management\Client\Terra_mining\Extension Hill\AT0066 Metallurgical Testworks</t>
  </si>
  <si>
    <t>Murchison</t>
    <phoneticPr fontId="5" type="noConversion"/>
  </si>
  <si>
    <t>C:\Users\wubia\OneDrive - Longi Magnet Australia Pty ltd\Documents - Longi Australia\03 Project Management\Client\Magnetite_Mines\The Razorback \AC0012 General Inquiry</t>
    <phoneticPr fontId="5" type="noConversion"/>
  </si>
  <si>
    <t>Barto_Gold</t>
  </si>
  <si>
    <t>Southern Cross Operation</t>
  </si>
  <si>
    <t>Gold</t>
  </si>
  <si>
    <t xml:space="preserve"> CV04 overhead belt magnet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</si>
</sst>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10"/>
      <color rgb="FF00FF00"/>
      <name val="Calibri"/>
      <family val="2"/>
    </font>
    <font>
      <sz val="9"/>
      <name val="Calibri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2" applyNumberFormat="0" applyFill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4" fillId="0" borderId="1" xfId="1" applyBorder="1" applyAlignment="1">
      <alignment horizontal="center" vertical="center"/>
    </xf>
    <xf numFmtId="0" fontId="4" fillId="0" borderId="1" xfId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0" borderId="0" xfId="1"/>
    <xf numFmtId="0" fontId="0" fillId="0" borderId="0" xfId="0" applyAlignment="1">
      <alignment wrapText="1"/>
    </xf>
    <xf numFmtId="0" fontId="4" fillId="0" borderId="0" xfId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8" fillId="0" borderId="2" xfId="2" applyFont="1" applyAlignment="1">
      <alignment horizontal="left" vertical="center"/>
    </xf>
    <xf numFmtId="0" fontId="7" fillId="0" borderId="1" xfId="0" pivotButton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pivotButton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right"/>
    </xf>
  </cellXfs>
  <cellStyles count="3">
    <cellStyle name="Heading 1" xfId="2" builtinId="16"/>
    <cellStyle name="Hyperlink" xfId="1" builtinId="8"/>
    <cellStyle name="Normal" xfId="0" builtinId="0"/>
  </cellStyles>
  <dxfs count="216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1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5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microsoft.com/office/2006/relationships/xlMacrosheet" Target="macro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pivotCacheDefinition" Target="pivotCache/pivotCacheDefinition1.xml"/><Relationship Id="rId24" Type="http://schemas.microsoft.com/office/2023/09/relationships/Python" Target="python.xml"/><Relationship Id="rId5" Type="http://schemas.openxmlformats.org/officeDocument/2006/relationships/worksheet" Target="worksheets/sheet3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8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[LJA Job Register Rev3.xlsm]Weijun!PivotTable1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Weijun!$B$6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Weijun!$A$7:$A$8</c:f>
              <c:strCache>
                <c:ptCount val="1"/>
                <c:pt idx="0">
                  <c:v>AQ0016</c:v>
                </c:pt>
              </c:strCache>
            </c:strRef>
          </c:cat>
          <c:val>
            <c:numRef>
              <c:f>Weijun!$B$7:$B$8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7-4D58-9DE8-9E004BA54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2986048"/>
        <c:axId val="1897530384"/>
      </c:barChart>
      <c:catAx>
        <c:axId val="189298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530384"/>
        <c:crosses val="autoZero"/>
        <c:auto val="1"/>
        <c:lblAlgn val="ctr"/>
        <c:lblOffset val="100"/>
        <c:noMultiLvlLbl val="0"/>
      </c:catAx>
      <c:valAx>
        <c:axId val="189753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98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[LJA Job Register Rev3.xlsm]Wubiao!PivotTable1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Wubiao!$B$6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Wubiao!$A$7:$A$26</c:f>
              <c:strCache>
                <c:ptCount val="19"/>
                <c:pt idx="0">
                  <c:v>AP0001</c:v>
                </c:pt>
                <c:pt idx="1">
                  <c:v>AQ0005</c:v>
                </c:pt>
                <c:pt idx="2">
                  <c:v>AQ0012</c:v>
                </c:pt>
                <c:pt idx="3">
                  <c:v>AT0007</c:v>
                </c:pt>
                <c:pt idx="4">
                  <c:v>AT0008</c:v>
                </c:pt>
                <c:pt idx="5">
                  <c:v>AT0009</c:v>
                </c:pt>
                <c:pt idx="6">
                  <c:v>AQ0021</c:v>
                </c:pt>
                <c:pt idx="7">
                  <c:v>AT0020</c:v>
                </c:pt>
                <c:pt idx="8">
                  <c:v>AQ0030</c:v>
                </c:pt>
                <c:pt idx="9">
                  <c:v>AQ0049</c:v>
                </c:pt>
                <c:pt idx="10">
                  <c:v>AQ0050</c:v>
                </c:pt>
                <c:pt idx="11">
                  <c:v>AT0038</c:v>
                </c:pt>
                <c:pt idx="12">
                  <c:v>AS0010</c:v>
                </c:pt>
                <c:pt idx="13">
                  <c:v>AQ0053</c:v>
                </c:pt>
                <c:pt idx="14">
                  <c:v>AC0021</c:v>
                </c:pt>
                <c:pt idx="15">
                  <c:v>AQ0064</c:v>
                </c:pt>
                <c:pt idx="16">
                  <c:v>AQ0065</c:v>
                </c:pt>
                <c:pt idx="17">
                  <c:v>AT0051</c:v>
                </c:pt>
                <c:pt idx="18">
                  <c:v>AQ0080</c:v>
                </c:pt>
              </c:strCache>
            </c:strRef>
          </c:cat>
          <c:val>
            <c:numRef>
              <c:f>Wubiao!$B$7:$B$26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8E-42E6-BDE6-B2F1B182E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2986048"/>
        <c:axId val="1897530384"/>
      </c:barChart>
      <c:catAx>
        <c:axId val="189298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530384"/>
        <c:crosses val="autoZero"/>
        <c:auto val="1"/>
        <c:lblAlgn val="ctr"/>
        <c:lblOffset val="100"/>
        <c:noMultiLvlLbl val="0"/>
      </c:catAx>
      <c:valAx>
        <c:axId val="189753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98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</xdr:row>
          <xdr:rowOff>31750</xdr:rowOff>
        </xdr:from>
        <xdr:to>
          <xdr:col>15</xdr:col>
          <xdr:colOff>565150</xdr:colOff>
          <xdr:row>2</xdr:row>
          <xdr:rowOff>190500</xdr:rowOff>
        </xdr:to>
        <xdr:sp macro="" textlink="">
          <xdr:nvSpPr>
            <xdr:cNvPr id="1029" name="Button 5" descr="OK&#10;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</xdr:row>
          <xdr:rowOff>31750</xdr:rowOff>
        </xdr:from>
        <xdr:to>
          <xdr:col>15</xdr:col>
          <xdr:colOff>565150</xdr:colOff>
          <xdr:row>3</xdr:row>
          <xdr:rowOff>190500</xdr:rowOff>
        </xdr:to>
        <xdr:sp macro="" textlink="">
          <xdr:nvSpPr>
            <xdr:cNvPr id="1035" name="Button 11" descr="OK&#10;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</xdr:row>
          <xdr:rowOff>31750</xdr:rowOff>
        </xdr:from>
        <xdr:to>
          <xdr:col>15</xdr:col>
          <xdr:colOff>565150</xdr:colOff>
          <xdr:row>4</xdr:row>
          <xdr:rowOff>190500</xdr:rowOff>
        </xdr:to>
        <xdr:sp macro="" textlink="">
          <xdr:nvSpPr>
            <xdr:cNvPr id="1036" name="Button 12" descr="OK&#10;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</xdr:row>
          <xdr:rowOff>31750</xdr:rowOff>
        </xdr:from>
        <xdr:to>
          <xdr:col>15</xdr:col>
          <xdr:colOff>565150</xdr:colOff>
          <xdr:row>5</xdr:row>
          <xdr:rowOff>190500</xdr:rowOff>
        </xdr:to>
        <xdr:sp macro="" textlink="">
          <xdr:nvSpPr>
            <xdr:cNvPr id="1037" name="Button 13" descr="OK&#10;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</xdr:row>
          <xdr:rowOff>31750</xdr:rowOff>
        </xdr:from>
        <xdr:to>
          <xdr:col>15</xdr:col>
          <xdr:colOff>565150</xdr:colOff>
          <xdr:row>6</xdr:row>
          <xdr:rowOff>190500</xdr:rowOff>
        </xdr:to>
        <xdr:sp macro="" textlink="">
          <xdr:nvSpPr>
            <xdr:cNvPr id="1038" name="Button 14" descr="OK&#10;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</xdr:row>
          <xdr:rowOff>31750</xdr:rowOff>
        </xdr:from>
        <xdr:to>
          <xdr:col>15</xdr:col>
          <xdr:colOff>565150</xdr:colOff>
          <xdr:row>7</xdr:row>
          <xdr:rowOff>190500</xdr:rowOff>
        </xdr:to>
        <xdr:sp macro="" textlink="">
          <xdr:nvSpPr>
            <xdr:cNvPr id="1039" name="Button 15" descr="OK&#10;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</xdr:row>
          <xdr:rowOff>31750</xdr:rowOff>
        </xdr:from>
        <xdr:to>
          <xdr:col>15</xdr:col>
          <xdr:colOff>565150</xdr:colOff>
          <xdr:row>8</xdr:row>
          <xdr:rowOff>190500</xdr:rowOff>
        </xdr:to>
        <xdr:sp macro="" textlink="">
          <xdr:nvSpPr>
            <xdr:cNvPr id="1040" name="Button 16" descr="OK&#10;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</xdr:row>
          <xdr:rowOff>31750</xdr:rowOff>
        </xdr:from>
        <xdr:to>
          <xdr:col>15</xdr:col>
          <xdr:colOff>565150</xdr:colOff>
          <xdr:row>9</xdr:row>
          <xdr:rowOff>190500</xdr:rowOff>
        </xdr:to>
        <xdr:sp macro="" textlink="">
          <xdr:nvSpPr>
            <xdr:cNvPr id="1041" name="Button 17" descr="OK&#10;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</xdr:row>
          <xdr:rowOff>31750</xdr:rowOff>
        </xdr:from>
        <xdr:to>
          <xdr:col>15</xdr:col>
          <xdr:colOff>565150</xdr:colOff>
          <xdr:row>10</xdr:row>
          <xdr:rowOff>190500</xdr:rowOff>
        </xdr:to>
        <xdr:sp macro="" textlink="">
          <xdr:nvSpPr>
            <xdr:cNvPr id="1042" name="Button 18" descr="OK&#10;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</xdr:row>
          <xdr:rowOff>31750</xdr:rowOff>
        </xdr:from>
        <xdr:to>
          <xdr:col>15</xdr:col>
          <xdr:colOff>565150</xdr:colOff>
          <xdr:row>11</xdr:row>
          <xdr:rowOff>190500</xdr:rowOff>
        </xdr:to>
        <xdr:sp macro="" textlink="">
          <xdr:nvSpPr>
            <xdr:cNvPr id="1043" name="Button 19" descr="OK&#10;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12</xdr:row>
          <xdr:rowOff>31750</xdr:rowOff>
        </xdr:from>
        <xdr:to>
          <xdr:col>15</xdr:col>
          <xdr:colOff>565150</xdr:colOff>
          <xdr:row>12</xdr:row>
          <xdr:rowOff>190500</xdr:rowOff>
        </xdr:to>
        <xdr:sp macro="" textlink="">
          <xdr:nvSpPr>
            <xdr:cNvPr id="1044" name="Button 20" descr="OK&#10;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13</xdr:row>
          <xdr:rowOff>31750</xdr:rowOff>
        </xdr:from>
        <xdr:to>
          <xdr:col>15</xdr:col>
          <xdr:colOff>565150</xdr:colOff>
          <xdr:row>13</xdr:row>
          <xdr:rowOff>190500</xdr:rowOff>
        </xdr:to>
        <xdr:sp macro="" textlink="">
          <xdr:nvSpPr>
            <xdr:cNvPr id="1045" name="Button 21" descr="OK&#10;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14</xdr:row>
          <xdr:rowOff>31750</xdr:rowOff>
        </xdr:from>
        <xdr:to>
          <xdr:col>15</xdr:col>
          <xdr:colOff>565150</xdr:colOff>
          <xdr:row>14</xdr:row>
          <xdr:rowOff>190500</xdr:rowOff>
        </xdr:to>
        <xdr:sp macro="" textlink="">
          <xdr:nvSpPr>
            <xdr:cNvPr id="1046" name="Button 22" descr="OK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15</xdr:row>
          <xdr:rowOff>31750</xdr:rowOff>
        </xdr:from>
        <xdr:to>
          <xdr:col>15</xdr:col>
          <xdr:colOff>565150</xdr:colOff>
          <xdr:row>15</xdr:row>
          <xdr:rowOff>190500</xdr:rowOff>
        </xdr:to>
        <xdr:sp macro="" textlink="">
          <xdr:nvSpPr>
            <xdr:cNvPr id="1047" name="Button 23" descr="OK&#10;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16</xdr:row>
          <xdr:rowOff>31750</xdr:rowOff>
        </xdr:from>
        <xdr:to>
          <xdr:col>15</xdr:col>
          <xdr:colOff>565150</xdr:colOff>
          <xdr:row>16</xdr:row>
          <xdr:rowOff>190500</xdr:rowOff>
        </xdr:to>
        <xdr:sp macro="" textlink="">
          <xdr:nvSpPr>
            <xdr:cNvPr id="1048" name="Button 24" descr="OK&#10;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17</xdr:row>
          <xdr:rowOff>31750</xdr:rowOff>
        </xdr:from>
        <xdr:to>
          <xdr:col>15</xdr:col>
          <xdr:colOff>565150</xdr:colOff>
          <xdr:row>17</xdr:row>
          <xdr:rowOff>190500</xdr:rowOff>
        </xdr:to>
        <xdr:sp macro="" textlink="">
          <xdr:nvSpPr>
            <xdr:cNvPr id="1049" name="Button 25" descr="OK&#10;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18</xdr:row>
          <xdr:rowOff>31750</xdr:rowOff>
        </xdr:from>
        <xdr:to>
          <xdr:col>15</xdr:col>
          <xdr:colOff>565150</xdr:colOff>
          <xdr:row>18</xdr:row>
          <xdr:rowOff>190500</xdr:rowOff>
        </xdr:to>
        <xdr:sp macro="" textlink="">
          <xdr:nvSpPr>
            <xdr:cNvPr id="1050" name="Button 26" descr="OK&#10;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19</xdr:row>
          <xdr:rowOff>31750</xdr:rowOff>
        </xdr:from>
        <xdr:to>
          <xdr:col>15</xdr:col>
          <xdr:colOff>565150</xdr:colOff>
          <xdr:row>19</xdr:row>
          <xdr:rowOff>190500</xdr:rowOff>
        </xdr:to>
        <xdr:sp macro="" textlink="">
          <xdr:nvSpPr>
            <xdr:cNvPr id="1051" name="Button 27" descr="OK&#10;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20</xdr:row>
          <xdr:rowOff>31750</xdr:rowOff>
        </xdr:from>
        <xdr:to>
          <xdr:col>15</xdr:col>
          <xdr:colOff>565150</xdr:colOff>
          <xdr:row>20</xdr:row>
          <xdr:rowOff>190500</xdr:rowOff>
        </xdr:to>
        <xdr:sp macro="" textlink="">
          <xdr:nvSpPr>
            <xdr:cNvPr id="1052" name="Button 28" descr="OK&#10;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21</xdr:row>
          <xdr:rowOff>31750</xdr:rowOff>
        </xdr:from>
        <xdr:to>
          <xdr:col>15</xdr:col>
          <xdr:colOff>565150</xdr:colOff>
          <xdr:row>21</xdr:row>
          <xdr:rowOff>190500</xdr:rowOff>
        </xdr:to>
        <xdr:sp macro="" textlink="">
          <xdr:nvSpPr>
            <xdr:cNvPr id="1053" name="Button 29" descr="OK&#10;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22</xdr:row>
          <xdr:rowOff>31750</xdr:rowOff>
        </xdr:from>
        <xdr:to>
          <xdr:col>15</xdr:col>
          <xdr:colOff>565150</xdr:colOff>
          <xdr:row>22</xdr:row>
          <xdr:rowOff>190500</xdr:rowOff>
        </xdr:to>
        <xdr:sp macro="" textlink="">
          <xdr:nvSpPr>
            <xdr:cNvPr id="1054" name="Button 30" descr="OK&#10;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23</xdr:row>
          <xdr:rowOff>31750</xdr:rowOff>
        </xdr:from>
        <xdr:to>
          <xdr:col>15</xdr:col>
          <xdr:colOff>565150</xdr:colOff>
          <xdr:row>23</xdr:row>
          <xdr:rowOff>190500</xdr:rowOff>
        </xdr:to>
        <xdr:sp macro="" textlink="">
          <xdr:nvSpPr>
            <xdr:cNvPr id="1055" name="Button 31" descr="OK&#10;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24</xdr:row>
          <xdr:rowOff>31750</xdr:rowOff>
        </xdr:from>
        <xdr:to>
          <xdr:col>15</xdr:col>
          <xdr:colOff>565150</xdr:colOff>
          <xdr:row>24</xdr:row>
          <xdr:rowOff>190500</xdr:rowOff>
        </xdr:to>
        <xdr:sp macro="" textlink="">
          <xdr:nvSpPr>
            <xdr:cNvPr id="1056" name="Button 32" descr="OK&#10;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25</xdr:row>
          <xdr:rowOff>31750</xdr:rowOff>
        </xdr:from>
        <xdr:to>
          <xdr:col>15</xdr:col>
          <xdr:colOff>565150</xdr:colOff>
          <xdr:row>25</xdr:row>
          <xdr:rowOff>190500</xdr:rowOff>
        </xdr:to>
        <xdr:sp macro="" textlink="">
          <xdr:nvSpPr>
            <xdr:cNvPr id="1057" name="Button 33" descr="OK&#10;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26</xdr:row>
          <xdr:rowOff>31750</xdr:rowOff>
        </xdr:from>
        <xdr:to>
          <xdr:col>15</xdr:col>
          <xdr:colOff>565150</xdr:colOff>
          <xdr:row>26</xdr:row>
          <xdr:rowOff>190500</xdr:rowOff>
        </xdr:to>
        <xdr:sp macro="" textlink="">
          <xdr:nvSpPr>
            <xdr:cNvPr id="1058" name="Button 34" descr="OK&#10;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27</xdr:row>
          <xdr:rowOff>31750</xdr:rowOff>
        </xdr:from>
        <xdr:to>
          <xdr:col>15</xdr:col>
          <xdr:colOff>565150</xdr:colOff>
          <xdr:row>27</xdr:row>
          <xdr:rowOff>190500</xdr:rowOff>
        </xdr:to>
        <xdr:sp macro="" textlink="">
          <xdr:nvSpPr>
            <xdr:cNvPr id="1059" name="Button 35" descr="OK&#10;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28</xdr:row>
          <xdr:rowOff>31750</xdr:rowOff>
        </xdr:from>
        <xdr:to>
          <xdr:col>15</xdr:col>
          <xdr:colOff>565150</xdr:colOff>
          <xdr:row>28</xdr:row>
          <xdr:rowOff>190500</xdr:rowOff>
        </xdr:to>
        <xdr:sp macro="" textlink="">
          <xdr:nvSpPr>
            <xdr:cNvPr id="1060" name="Button 36" descr="OK&#10;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29</xdr:row>
          <xdr:rowOff>31750</xdr:rowOff>
        </xdr:from>
        <xdr:to>
          <xdr:col>15</xdr:col>
          <xdr:colOff>565150</xdr:colOff>
          <xdr:row>29</xdr:row>
          <xdr:rowOff>190500</xdr:rowOff>
        </xdr:to>
        <xdr:sp macro="" textlink="">
          <xdr:nvSpPr>
            <xdr:cNvPr id="1061" name="Button 37" descr="OK&#10;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30</xdr:row>
          <xdr:rowOff>31750</xdr:rowOff>
        </xdr:from>
        <xdr:to>
          <xdr:col>15</xdr:col>
          <xdr:colOff>565150</xdr:colOff>
          <xdr:row>30</xdr:row>
          <xdr:rowOff>190500</xdr:rowOff>
        </xdr:to>
        <xdr:sp macro="" textlink="">
          <xdr:nvSpPr>
            <xdr:cNvPr id="1062" name="Button 38" descr="OK&#10;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31</xdr:row>
          <xdr:rowOff>31750</xdr:rowOff>
        </xdr:from>
        <xdr:to>
          <xdr:col>15</xdr:col>
          <xdr:colOff>565150</xdr:colOff>
          <xdr:row>31</xdr:row>
          <xdr:rowOff>190500</xdr:rowOff>
        </xdr:to>
        <xdr:sp macro="" textlink="">
          <xdr:nvSpPr>
            <xdr:cNvPr id="1063" name="Button 39" descr="OK&#10;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2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32</xdr:row>
          <xdr:rowOff>31750</xdr:rowOff>
        </xdr:from>
        <xdr:to>
          <xdr:col>15</xdr:col>
          <xdr:colOff>565150</xdr:colOff>
          <xdr:row>32</xdr:row>
          <xdr:rowOff>190500</xdr:rowOff>
        </xdr:to>
        <xdr:sp macro="" textlink="">
          <xdr:nvSpPr>
            <xdr:cNvPr id="1064" name="Button 40" descr="OK&#10;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33</xdr:row>
          <xdr:rowOff>31750</xdr:rowOff>
        </xdr:from>
        <xdr:to>
          <xdr:col>15</xdr:col>
          <xdr:colOff>565150</xdr:colOff>
          <xdr:row>33</xdr:row>
          <xdr:rowOff>190500</xdr:rowOff>
        </xdr:to>
        <xdr:sp macro="" textlink="">
          <xdr:nvSpPr>
            <xdr:cNvPr id="1065" name="Button 41" descr="OK&#10;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34</xdr:row>
          <xdr:rowOff>31750</xdr:rowOff>
        </xdr:from>
        <xdr:to>
          <xdr:col>15</xdr:col>
          <xdr:colOff>565150</xdr:colOff>
          <xdr:row>34</xdr:row>
          <xdr:rowOff>190500</xdr:rowOff>
        </xdr:to>
        <xdr:sp macro="" textlink="">
          <xdr:nvSpPr>
            <xdr:cNvPr id="1066" name="Button 42" descr="OK&#10;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35</xdr:row>
          <xdr:rowOff>31750</xdr:rowOff>
        </xdr:from>
        <xdr:to>
          <xdr:col>15</xdr:col>
          <xdr:colOff>565150</xdr:colOff>
          <xdr:row>35</xdr:row>
          <xdr:rowOff>190500</xdr:rowOff>
        </xdr:to>
        <xdr:sp macro="" textlink="">
          <xdr:nvSpPr>
            <xdr:cNvPr id="1067" name="Button 43" descr="OK&#10;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36</xdr:row>
          <xdr:rowOff>31750</xdr:rowOff>
        </xdr:from>
        <xdr:to>
          <xdr:col>15</xdr:col>
          <xdr:colOff>565150</xdr:colOff>
          <xdr:row>36</xdr:row>
          <xdr:rowOff>190500</xdr:rowOff>
        </xdr:to>
        <xdr:sp macro="" textlink="">
          <xdr:nvSpPr>
            <xdr:cNvPr id="1068" name="Button 44" descr="OK&#10;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2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37</xdr:row>
          <xdr:rowOff>31750</xdr:rowOff>
        </xdr:from>
        <xdr:to>
          <xdr:col>15</xdr:col>
          <xdr:colOff>565150</xdr:colOff>
          <xdr:row>37</xdr:row>
          <xdr:rowOff>190500</xdr:rowOff>
        </xdr:to>
        <xdr:sp macro="" textlink="">
          <xdr:nvSpPr>
            <xdr:cNvPr id="1069" name="Button 45" descr="OK&#10;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38</xdr:row>
          <xdr:rowOff>31750</xdr:rowOff>
        </xdr:from>
        <xdr:to>
          <xdr:col>15</xdr:col>
          <xdr:colOff>565150</xdr:colOff>
          <xdr:row>38</xdr:row>
          <xdr:rowOff>190500</xdr:rowOff>
        </xdr:to>
        <xdr:sp macro="" textlink="">
          <xdr:nvSpPr>
            <xdr:cNvPr id="1070" name="Button 46" descr="OK&#10;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39</xdr:row>
          <xdr:rowOff>31750</xdr:rowOff>
        </xdr:from>
        <xdr:to>
          <xdr:col>15</xdr:col>
          <xdr:colOff>565150</xdr:colOff>
          <xdr:row>39</xdr:row>
          <xdr:rowOff>190500</xdr:rowOff>
        </xdr:to>
        <xdr:sp macro="" textlink="">
          <xdr:nvSpPr>
            <xdr:cNvPr id="1071" name="Button 47" descr="OK&#10;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40</xdr:row>
          <xdr:rowOff>31750</xdr:rowOff>
        </xdr:from>
        <xdr:to>
          <xdr:col>15</xdr:col>
          <xdr:colOff>565150</xdr:colOff>
          <xdr:row>40</xdr:row>
          <xdr:rowOff>190500</xdr:rowOff>
        </xdr:to>
        <xdr:sp macro="" textlink="">
          <xdr:nvSpPr>
            <xdr:cNvPr id="1072" name="Button 48" descr="OK&#10;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41</xdr:row>
          <xdr:rowOff>31750</xdr:rowOff>
        </xdr:from>
        <xdr:to>
          <xdr:col>15</xdr:col>
          <xdr:colOff>565150</xdr:colOff>
          <xdr:row>41</xdr:row>
          <xdr:rowOff>190500</xdr:rowOff>
        </xdr:to>
        <xdr:sp macro="" textlink="">
          <xdr:nvSpPr>
            <xdr:cNvPr id="1073" name="Button 49" descr="OK&#10;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2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42</xdr:row>
          <xdr:rowOff>31750</xdr:rowOff>
        </xdr:from>
        <xdr:to>
          <xdr:col>15</xdr:col>
          <xdr:colOff>565150</xdr:colOff>
          <xdr:row>42</xdr:row>
          <xdr:rowOff>190500</xdr:rowOff>
        </xdr:to>
        <xdr:sp macro="" textlink="">
          <xdr:nvSpPr>
            <xdr:cNvPr id="1074" name="Button 50" descr="OK&#10;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43</xdr:row>
          <xdr:rowOff>31750</xdr:rowOff>
        </xdr:from>
        <xdr:to>
          <xdr:col>15</xdr:col>
          <xdr:colOff>565150</xdr:colOff>
          <xdr:row>43</xdr:row>
          <xdr:rowOff>190500</xdr:rowOff>
        </xdr:to>
        <xdr:sp macro="" textlink="">
          <xdr:nvSpPr>
            <xdr:cNvPr id="1075" name="Button 51" descr="OK&#10;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44</xdr:row>
          <xdr:rowOff>31750</xdr:rowOff>
        </xdr:from>
        <xdr:to>
          <xdr:col>15</xdr:col>
          <xdr:colOff>565150</xdr:colOff>
          <xdr:row>44</xdr:row>
          <xdr:rowOff>190500</xdr:rowOff>
        </xdr:to>
        <xdr:sp macro="" textlink="">
          <xdr:nvSpPr>
            <xdr:cNvPr id="1076" name="Button 52" descr="OK&#10;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45</xdr:row>
          <xdr:rowOff>31750</xdr:rowOff>
        </xdr:from>
        <xdr:to>
          <xdr:col>15</xdr:col>
          <xdr:colOff>565150</xdr:colOff>
          <xdr:row>45</xdr:row>
          <xdr:rowOff>190500</xdr:rowOff>
        </xdr:to>
        <xdr:sp macro="" textlink="">
          <xdr:nvSpPr>
            <xdr:cNvPr id="1077" name="Button 53" descr="OK&#10;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2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46</xdr:row>
          <xdr:rowOff>31750</xdr:rowOff>
        </xdr:from>
        <xdr:to>
          <xdr:col>15</xdr:col>
          <xdr:colOff>565150</xdr:colOff>
          <xdr:row>46</xdr:row>
          <xdr:rowOff>190500</xdr:rowOff>
        </xdr:to>
        <xdr:sp macro="" textlink="">
          <xdr:nvSpPr>
            <xdr:cNvPr id="1078" name="Button 54" descr="OK&#10;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2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47</xdr:row>
          <xdr:rowOff>31750</xdr:rowOff>
        </xdr:from>
        <xdr:to>
          <xdr:col>15</xdr:col>
          <xdr:colOff>565150</xdr:colOff>
          <xdr:row>47</xdr:row>
          <xdr:rowOff>190500</xdr:rowOff>
        </xdr:to>
        <xdr:sp macro="" textlink="">
          <xdr:nvSpPr>
            <xdr:cNvPr id="1079" name="Button 55" descr="OK&#10;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48</xdr:row>
          <xdr:rowOff>31750</xdr:rowOff>
        </xdr:from>
        <xdr:to>
          <xdr:col>15</xdr:col>
          <xdr:colOff>565150</xdr:colOff>
          <xdr:row>48</xdr:row>
          <xdr:rowOff>190500</xdr:rowOff>
        </xdr:to>
        <xdr:sp macro="" textlink="">
          <xdr:nvSpPr>
            <xdr:cNvPr id="1080" name="Button 56" descr="OK&#10;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2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49</xdr:row>
          <xdr:rowOff>31750</xdr:rowOff>
        </xdr:from>
        <xdr:to>
          <xdr:col>15</xdr:col>
          <xdr:colOff>565150</xdr:colOff>
          <xdr:row>49</xdr:row>
          <xdr:rowOff>190500</xdr:rowOff>
        </xdr:to>
        <xdr:sp macro="" textlink="">
          <xdr:nvSpPr>
            <xdr:cNvPr id="1081" name="Button 57" descr="OK&#10;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2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50</xdr:row>
          <xdr:rowOff>31750</xdr:rowOff>
        </xdr:from>
        <xdr:to>
          <xdr:col>15</xdr:col>
          <xdr:colOff>565150</xdr:colOff>
          <xdr:row>50</xdr:row>
          <xdr:rowOff>190500</xdr:rowOff>
        </xdr:to>
        <xdr:sp macro="" textlink="">
          <xdr:nvSpPr>
            <xdr:cNvPr id="1082" name="Button 58" descr="OK&#10;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2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51</xdr:row>
          <xdr:rowOff>31750</xdr:rowOff>
        </xdr:from>
        <xdr:to>
          <xdr:col>15</xdr:col>
          <xdr:colOff>565150</xdr:colOff>
          <xdr:row>51</xdr:row>
          <xdr:rowOff>190500</xdr:rowOff>
        </xdr:to>
        <xdr:sp macro="" textlink="">
          <xdr:nvSpPr>
            <xdr:cNvPr id="1083" name="Button 59" descr="OK&#10;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2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52</xdr:row>
          <xdr:rowOff>31750</xdr:rowOff>
        </xdr:from>
        <xdr:to>
          <xdr:col>15</xdr:col>
          <xdr:colOff>565150</xdr:colOff>
          <xdr:row>52</xdr:row>
          <xdr:rowOff>190500</xdr:rowOff>
        </xdr:to>
        <xdr:sp macro="" textlink="">
          <xdr:nvSpPr>
            <xdr:cNvPr id="1084" name="Button 60" descr="OK&#10;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2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53</xdr:row>
          <xdr:rowOff>31750</xdr:rowOff>
        </xdr:from>
        <xdr:to>
          <xdr:col>15</xdr:col>
          <xdr:colOff>565150</xdr:colOff>
          <xdr:row>53</xdr:row>
          <xdr:rowOff>190500</xdr:rowOff>
        </xdr:to>
        <xdr:sp macro="" textlink="">
          <xdr:nvSpPr>
            <xdr:cNvPr id="1085" name="Button 61" descr="OK&#10;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2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54</xdr:row>
          <xdr:rowOff>31750</xdr:rowOff>
        </xdr:from>
        <xdr:to>
          <xdr:col>15</xdr:col>
          <xdr:colOff>565150</xdr:colOff>
          <xdr:row>54</xdr:row>
          <xdr:rowOff>190500</xdr:rowOff>
        </xdr:to>
        <xdr:sp macro="" textlink="">
          <xdr:nvSpPr>
            <xdr:cNvPr id="1086" name="Button 62" descr="OK&#10;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2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55</xdr:row>
          <xdr:rowOff>31750</xdr:rowOff>
        </xdr:from>
        <xdr:to>
          <xdr:col>15</xdr:col>
          <xdr:colOff>565150</xdr:colOff>
          <xdr:row>55</xdr:row>
          <xdr:rowOff>190500</xdr:rowOff>
        </xdr:to>
        <xdr:sp macro="" textlink="">
          <xdr:nvSpPr>
            <xdr:cNvPr id="1087" name="Button 63" descr="OK&#10;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2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56</xdr:row>
          <xdr:rowOff>31750</xdr:rowOff>
        </xdr:from>
        <xdr:to>
          <xdr:col>15</xdr:col>
          <xdr:colOff>565150</xdr:colOff>
          <xdr:row>56</xdr:row>
          <xdr:rowOff>190500</xdr:rowOff>
        </xdr:to>
        <xdr:sp macro="" textlink="">
          <xdr:nvSpPr>
            <xdr:cNvPr id="1088" name="Button 64" descr="OK&#10;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2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57</xdr:row>
          <xdr:rowOff>31750</xdr:rowOff>
        </xdr:from>
        <xdr:to>
          <xdr:col>15</xdr:col>
          <xdr:colOff>565150</xdr:colOff>
          <xdr:row>57</xdr:row>
          <xdr:rowOff>190500</xdr:rowOff>
        </xdr:to>
        <xdr:sp macro="" textlink="">
          <xdr:nvSpPr>
            <xdr:cNvPr id="1089" name="Button 65" descr="OK&#10;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2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58</xdr:row>
          <xdr:rowOff>31750</xdr:rowOff>
        </xdr:from>
        <xdr:to>
          <xdr:col>15</xdr:col>
          <xdr:colOff>565150</xdr:colOff>
          <xdr:row>58</xdr:row>
          <xdr:rowOff>190500</xdr:rowOff>
        </xdr:to>
        <xdr:sp macro="" textlink="">
          <xdr:nvSpPr>
            <xdr:cNvPr id="1090" name="Button 66" descr="OK&#10;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2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59</xdr:row>
          <xdr:rowOff>31750</xdr:rowOff>
        </xdr:from>
        <xdr:to>
          <xdr:col>15</xdr:col>
          <xdr:colOff>565150</xdr:colOff>
          <xdr:row>59</xdr:row>
          <xdr:rowOff>190500</xdr:rowOff>
        </xdr:to>
        <xdr:sp macro="" textlink="">
          <xdr:nvSpPr>
            <xdr:cNvPr id="1091" name="Button 67" descr="OK&#10;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2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60</xdr:row>
          <xdr:rowOff>31750</xdr:rowOff>
        </xdr:from>
        <xdr:to>
          <xdr:col>15</xdr:col>
          <xdr:colOff>565150</xdr:colOff>
          <xdr:row>60</xdr:row>
          <xdr:rowOff>190500</xdr:rowOff>
        </xdr:to>
        <xdr:sp macro="" textlink="">
          <xdr:nvSpPr>
            <xdr:cNvPr id="1092" name="Button 68" descr="OK&#10;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2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61</xdr:row>
          <xdr:rowOff>31750</xdr:rowOff>
        </xdr:from>
        <xdr:to>
          <xdr:col>15</xdr:col>
          <xdr:colOff>565150</xdr:colOff>
          <xdr:row>61</xdr:row>
          <xdr:rowOff>190500</xdr:rowOff>
        </xdr:to>
        <xdr:sp macro="" textlink="">
          <xdr:nvSpPr>
            <xdr:cNvPr id="1093" name="Button 69" descr="OK&#10;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2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62</xdr:row>
          <xdr:rowOff>31750</xdr:rowOff>
        </xdr:from>
        <xdr:to>
          <xdr:col>15</xdr:col>
          <xdr:colOff>565150</xdr:colOff>
          <xdr:row>62</xdr:row>
          <xdr:rowOff>190500</xdr:rowOff>
        </xdr:to>
        <xdr:sp macro="" textlink="">
          <xdr:nvSpPr>
            <xdr:cNvPr id="1094" name="Button 70" descr="OK&#10;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2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63</xdr:row>
          <xdr:rowOff>31750</xdr:rowOff>
        </xdr:from>
        <xdr:to>
          <xdr:col>15</xdr:col>
          <xdr:colOff>565150</xdr:colOff>
          <xdr:row>63</xdr:row>
          <xdr:rowOff>190500</xdr:rowOff>
        </xdr:to>
        <xdr:sp macro="" textlink="">
          <xdr:nvSpPr>
            <xdr:cNvPr id="1095" name="Button 71" descr="OK&#10;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2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64</xdr:row>
          <xdr:rowOff>31750</xdr:rowOff>
        </xdr:from>
        <xdr:to>
          <xdr:col>15</xdr:col>
          <xdr:colOff>565150</xdr:colOff>
          <xdr:row>64</xdr:row>
          <xdr:rowOff>190500</xdr:rowOff>
        </xdr:to>
        <xdr:sp macro="" textlink="">
          <xdr:nvSpPr>
            <xdr:cNvPr id="1096" name="Button 72" descr="OK&#10;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2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65</xdr:row>
          <xdr:rowOff>31750</xdr:rowOff>
        </xdr:from>
        <xdr:to>
          <xdr:col>15</xdr:col>
          <xdr:colOff>565150</xdr:colOff>
          <xdr:row>65</xdr:row>
          <xdr:rowOff>190500</xdr:rowOff>
        </xdr:to>
        <xdr:sp macro="" textlink="">
          <xdr:nvSpPr>
            <xdr:cNvPr id="1097" name="Button 73" descr="OK&#10;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2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66</xdr:row>
          <xdr:rowOff>31750</xdr:rowOff>
        </xdr:from>
        <xdr:to>
          <xdr:col>15</xdr:col>
          <xdr:colOff>565150</xdr:colOff>
          <xdr:row>66</xdr:row>
          <xdr:rowOff>190500</xdr:rowOff>
        </xdr:to>
        <xdr:sp macro="" textlink="">
          <xdr:nvSpPr>
            <xdr:cNvPr id="1098" name="Button 74" descr="OK&#10;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2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67</xdr:row>
          <xdr:rowOff>31750</xdr:rowOff>
        </xdr:from>
        <xdr:to>
          <xdr:col>15</xdr:col>
          <xdr:colOff>565150</xdr:colOff>
          <xdr:row>67</xdr:row>
          <xdr:rowOff>190500</xdr:rowOff>
        </xdr:to>
        <xdr:sp macro="" textlink="">
          <xdr:nvSpPr>
            <xdr:cNvPr id="1099" name="Button 75" descr="OK&#10;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2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68</xdr:row>
          <xdr:rowOff>31750</xdr:rowOff>
        </xdr:from>
        <xdr:to>
          <xdr:col>15</xdr:col>
          <xdr:colOff>565150</xdr:colOff>
          <xdr:row>68</xdr:row>
          <xdr:rowOff>190500</xdr:rowOff>
        </xdr:to>
        <xdr:sp macro="" textlink="">
          <xdr:nvSpPr>
            <xdr:cNvPr id="1100" name="Button 76" descr="OK&#10;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2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69</xdr:row>
          <xdr:rowOff>31750</xdr:rowOff>
        </xdr:from>
        <xdr:to>
          <xdr:col>15</xdr:col>
          <xdr:colOff>565150</xdr:colOff>
          <xdr:row>69</xdr:row>
          <xdr:rowOff>190500</xdr:rowOff>
        </xdr:to>
        <xdr:sp macro="" textlink="">
          <xdr:nvSpPr>
            <xdr:cNvPr id="1101" name="Button 77" descr="OK&#10;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2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70</xdr:row>
          <xdr:rowOff>31750</xdr:rowOff>
        </xdr:from>
        <xdr:to>
          <xdr:col>15</xdr:col>
          <xdr:colOff>565150</xdr:colOff>
          <xdr:row>70</xdr:row>
          <xdr:rowOff>190500</xdr:rowOff>
        </xdr:to>
        <xdr:sp macro="" textlink="">
          <xdr:nvSpPr>
            <xdr:cNvPr id="1105" name="Button 81" descr="OK&#10;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2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71</xdr:row>
          <xdr:rowOff>31750</xdr:rowOff>
        </xdr:from>
        <xdr:to>
          <xdr:col>15</xdr:col>
          <xdr:colOff>565150</xdr:colOff>
          <xdr:row>71</xdr:row>
          <xdr:rowOff>190500</xdr:rowOff>
        </xdr:to>
        <xdr:sp macro="" textlink="">
          <xdr:nvSpPr>
            <xdr:cNvPr id="1106" name="Button 82" descr="OK&#10;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2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72</xdr:row>
          <xdr:rowOff>31750</xdr:rowOff>
        </xdr:from>
        <xdr:to>
          <xdr:col>15</xdr:col>
          <xdr:colOff>565150</xdr:colOff>
          <xdr:row>72</xdr:row>
          <xdr:rowOff>190500</xdr:rowOff>
        </xdr:to>
        <xdr:sp macro="" textlink="">
          <xdr:nvSpPr>
            <xdr:cNvPr id="1107" name="Button 83" descr="OK&#10;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2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73</xdr:row>
          <xdr:rowOff>31750</xdr:rowOff>
        </xdr:from>
        <xdr:to>
          <xdr:col>15</xdr:col>
          <xdr:colOff>565150</xdr:colOff>
          <xdr:row>73</xdr:row>
          <xdr:rowOff>190500</xdr:rowOff>
        </xdr:to>
        <xdr:sp macro="" textlink="">
          <xdr:nvSpPr>
            <xdr:cNvPr id="1108" name="Button 84" descr="OK&#10;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2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74</xdr:row>
          <xdr:rowOff>31750</xdr:rowOff>
        </xdr:from>
        <xdr:to>
          <xdr:col>15</xdr:col>
          <xdr:colOff>565150</xdr:colOff>
          <xdr:row>74</xdr:row>
          <xdr:rowOff>190500</xdr:rowOff>
        </xdr:to>
        <xdr:sp macro="" textlink="">
          <xdr:nvSpPr>
            <xdr:cNvPr id="1110" name="Button 86" descr="OK&#10;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2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75</xdr:row>
          <xdr:rowOff>31750</xdr:rowOff>
        </xdr:from>
        <xdr:to>
          <xdr:col>15</xdr:col>
          <xdr:colOff>565150</xdr:colOff>
          <xdr:row>75</xdr:row>
          <xdr:rowOff>190500</xdr:rowOff>
        </xdr:to>
        <xdr:sp macro="" textlink="">
          <xdr:nvSpPr>
            <xdr:cNvPr id="1111" name="Button 87" descr="OK&#10;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2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76</xdr:row>
          <xdr:rowOff>31750</xdr:rowOff>
        </xdr:from>
        <xdr:to>
          <xdr:col>15</xdr:col>
          <xdr:colOff>565150</xdr:colOff>
          <xdr:row>76</xdr:row>
          <xdr:rowOff>190500</xdr:rowOff>
        </xdr:to>
        <xdr:sp macro="" textlink="">
          <xdr:nvSpPr>
            <xdr:cNvPr id="1113" name="Button 89" descr="OK&#10;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2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77</xdr:row>
          <xdr:rowOff>31750</xdr:rowOff>
        </xdr:from>
        <xdr:to>
          <xdr:col>15</xdr:col>
          <xdr:colOff>565150</xdr:colOff>
          <xdr:row>77</xdr:row>
          <xdr:rowOff>190500</xdr:rowOff>
        </xdr:to>
        <xdr:sp macro="" textlink="">
          <xdr:nvSpPr>
            <xdr:cNvPr id="1114" name="Button 90" descr="OK&#10;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2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78</xdr:row>
          <xdr:rowOff>31750</xdr:rowOff>
        </xdr:from>
        <xdr:to>
          <xdr:col>15</xdr:col>
          <xdr:colOff>565150</xdr:colOff>
          <xdr:row>78</xdr:row>
          <xdr:rowOff>190500</xdr:rowOff>
        </xdr:to>
        <xdr:sp macro="" textlink="">
          <xdr:nvSpPr>
            <xdr:cNvPr id="1117" name="Button 93" descr="OK&#10;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2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79</xdr:row>
          <xdr:rowOff>31750</xdr:rowOff>
        </xdr:from>
        <xdr:to>
          <xdr:col>15</xdr:col>
          <xdr:colOff>565150</xdr:colOff>
          <xdr:row>79</xdr:row>
          <xdr:rowOff>190500</xdr:rowOff>
        </xdr:to>
        <xdr:sp macro="" textlink="">
          <xdr:nvSpPr>
            <xdr:cNvPr id="1118" name="Button 94" descr="OK&#10;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2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80</xdr:row>
          <xdr:rowOff>31750</xdr:rowOff>
        </xdr:from>
        <xdr:to>
          <xdr:col>15</xdr:col>
          <xdr:colOff>565150</xdr:colOff>
          <xdr:row>80</xdr:row>
          <xdr:rowOff>190500</xdr:rowOff>
        </xdr:to>
        <xdr:sp macro="" textlink="">
          <xdr:nvSpPr>
            <xdr:cNvPr id="1119" name="Button 95" descr="OK&#10;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2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81</xdr:row>
          <xdr:rowOff>31750</xdr:rowOff>
        </xdr:from>
        <xdr:to>
          <xdr:col>15</xdr:col>
          <xdr:colOff>565150</xdr:colOff>
          <xdr:row>81</xdr:row>
          <xdr:rowOff>190500</xdr:rowOff>
        </xdr:to>
        <xdr:sp macro="" textlink="">
          <xdr:nvSpPr>
            <xdr:cNvPr id="1120" name="Button 96" descr="OK&#10;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2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82</xdr:row>
          <xdr:rowOff>31750</xdr:rowOff>
        </xdr:from>
        <xdr:to>
          <xdr:col>15</xdr:col>
          <xdr:colOff>565150</xdr:colOff>
          <xdr:row>82</xdr:row>
          <xdr:rowOff>190500</xdr:rowOff>
        </xdr:to>
        <xdr:sp macro="" textlink="">
          <xdr:nvSpPr>
            <xdr:cNvPr id="1121" name="Button 97" descr="OK&#10;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2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83</xdr:row>
          <xdr:rowOff>31750</xdr:rowOff>
        </xdr:from>
        <xdr:to>
          <xdr:col>15</xdr:col>
          <xdr:colOff>565150</xdr:colOff>
          <xdr:row>83</xdr:row>
          <xdr:rowOff>190500</xdr:rowOff>
        </xdr:to>
        <xdr:sp macro="" textlink="">
          <xdr:nvSpPr>
            <xdr:cNvPr id="1124" name="Button 100" descr="OK&#10;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2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84</xdr:row>
          <xdr:rowOff>31750</xdr:rowOff>
        </xdr:from>
        <xdr:to>
          <xdr:col>15</xdr:col>
          <xdr:colOff>565150</xdr:colOff>
          <xdr:row>84</xdr:row>
          <xdr:rowOff>190500</xdr:rowOff>
        </xdr:to>
        <xdr:sp macro="" textlink="">
          <xdr:nvSpPr>
            <xdr:cNvPr id="1125" name="Button 101" descr="OK&#10;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2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85</xdr:row>
          <xdr:rowOff>31750</xdr:rowOff>
        </xdr:from>
        <xdr:to>
          <xdr:col>15</xdr:col>
          <xdr:colOff>565150</xdr:colOff>
          <xdr:row>85</xdr:row>
          <xdr:rowOff>190500</xdr:rowOff>
        </xdr:to>
        <xdr:sp macro="" textlink="">
          <xdr:nvSpPr>
            <xdr:cNvPr id="1127" name="Button 103" descr="OK&#10;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2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86</xdr:row>
          <xdr:rowOff>31750</xdr:rowOff>
        </xdr:from>
        <xdr:to>
          <xdr:col>15</xdr:col>
          <xdr:colOff>565150</xdr:colOff>
          <xdr:row>86</xdr:row>
          <xdr:rowOff>190500</xdr:rowOff>
        </xdr:to>
        <xdr:sp macro="" textlink="">
          <xdr:nvSpPr>
            <xdr:cNvPr id="1128" name="Button 104" descr="OK&#10;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2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87</xdr:row>
          <xdr:rowOff>31750</xdr:rowOff>
        </xdr:from>
        <xdr:to>
          <xdr:col>15</xdr:col>
          <xdr:colOff>565150</xdr:colOff>
          <xdr:row>87</xdr:row>
          <xdr:rowOff>190500</xdr:rowOff>
        </xdr:to>
        <xdr:sp macro="" textlink="">
          <xdr:nvSpPr>
            <xdr:cNvPr id="1129" name="Button 105" descr="OK&#10;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2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88</xdr:row>
          <xdr:rowOff>31750</xdr:rowOff>
        </xdr:from>
        <xdr:to>
          <xdr:col>15</xdr:col>
          <xdr:colOff>565150</xdr:colOff>
          <xdr:row>88</xdr:row>
          <xdr:rowOff>190500</xdr:rowOff>
        </xdr:to>
        <xdr:sp macro="" textlink="">
          <xdr:nvSpPr>
            <xdr:cNvPr id="1130" name="Button 106" descr="OK&#10;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2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89</xdr:row>
          <xdr:rowOff>31750</xdr:rowOff>
        </xdr:from>
        <xdr:to>
          <xdr:col>15</xdr:col>
          <xdr:colOff>565150</xdr:colOff>
          <xdr:row>89</xdr:row>
          <xdr:rowOff>190500</xdr:rowOff>
        </xdr:to>
        <xdr:sp macro="" textlink="">
          <xdr:nvSpPr>
            <xdr:cNvPr id="1132" name="Button 108" descr="OK&#10;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2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90</xdr:row>
          <xdr:rowOff>31750</xdr:rowOff>
        </xdr:from>
        <xdr:to>
          <xdr:col>15</xdr:col>
          <xdr:colOff>565150</xdr:colOff>
          <xdr:row>90</xdr:row>
          <xdr:rowOff>190500</xdr:rowOff>
        </xdr:to>
        <xdr:sp macro="" textlink="">
          <xdr:nvSpPr>
            <xdr:cNvPr id="1133" name="Button 109" descr="OK&#10;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2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91</xdr:row>
          <xdr:rowOff>31750</xdr:rowOff>
        </xdr:from>
        <xdr:to>
          <xdr:col>15</xdr:col>
          <xdr:colOff>565150</xdr:colOff>
          <xdr:row>91</xdr:row>
          <xdr:rowOff>190500</xdr:rowOff>
        </xdr:to>
        <xdr:sp macro="" textlink="">
          <xdr:nvSpPr>
            <xdr:cNvPr id="1135" name="Button 111" descr="OK&#10;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2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92</xdr:row>
          <xdr:rowOff>31750</xdr:rowOff>
        </xdr:from>
        <xdr:to>
          <xdr:col>15</xdr:col>
          <xdr:colOff>565150</xdr:colOff>
          <xdr:row>92</xdr:row>
          <xdr:rowOff>190500</xdr:rowOff>
        </xdr:to>
        <xdr:sp macro="" textlink="">
          <xdr:nvSpPr>
            <xdr:cNvPr id="1136" name="Button 112" descr="OK&#10;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2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93</xdr:row>
          <xdr:rowOff>31750</xdr:rowOff>
        </xdr:from>
        <xdr:to>
          <xdr:col>15</xdr:col>
          <xdr:colOff>565150</xdr:colOff>
          <xdr:row>93</xdr:row>
          <xdr:rowOff>190500</xdr:rowOff>
        </xdr:to>
        <xdr:sp macro="" textlink="">
          <xdr:nvSpPr>
            <xdr:cNvPr id="1138" name="Button 114" descr="OK&#10;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2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94</xdr:row>
          <xdr:rowOff>31750</xdr:rowOff>
        </xdr:from>
        <xdr:to>
          <xdr:col>15</xdr:col>
          <xdr:colOff>565150</xdr:colOff>
          <xdr:row>94</xdr:row>
          <xdr:rowOff>190500</xdr:rowOff>
        </xdr:to>
        <xdr:sp macro="" textlink="">
          <xdr:nvSpPr>
            <xdr:cNvPr id="1140" name="Button 116" descr="OK&#10;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2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95</xdr:row>
          <xdr:rowOff>31750</xdr:rowOff>
        </xdr:from>
        <xdr:to>
          <xdr:col>15</xdr:col>
          <xdr:colOff>565150</xdr:colOff>
          <xdr:row>95</xdr:row>
          <xdr:rowOff>190500</xdr:rowOff>
        </xdr:to>
        <xdr:sp macro="" textlink="">
          <xdr:nvSpPr>
            <xdr:cNvPr id="1142" name="Button 118" descr="OK&#10;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2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96</xdr:row>
          <xdr:rowOff>31750</xdr:rowOff>
        </xdr:from>
        <xdr:to>
          <xdr:col>15</xdr:col>
          <xdr:colOff>565150</xdr:colOff>
          <xdr:row>96</xdr:row>
          <xdr:rowOff>190500</xdr:rowOff>
        </xdr:to>
        <xdr:sp macro="" textlink="">
          <xdr:nvSpPr>
            <xdr:cNvPr id="1144" name="Button 120" descr="OK&#10;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2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97</xdr:row>
          <xdr:rowOff>31750</xdr:rowOff>
        </xdr:from>
        <xdr:to>
          <xdr:col>15</xdr:col>
          <xdr:colOff>565150</xdr:colOff>
          <xdr:row>97</xdr:row>
          <xdr:rowOff>190500</xdr:rowOff>
        </xdr:to>
        <xdr:sp macro="" textlink="">
          <xdr:nvSpPr>
            <xdr:cNvPr id="1145" name="Button 121" descr="OK&#10;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2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98</xdr:row>
          <xdr:rowOff>31750</xdr:rowOff>
        </xdr:from>
        <xdr:to>
          <xdr:col>15</xdr:col>
          <xdr:colOff>565150</xdr:colOff>
          <xdr:row>98</xdr:row>
          <xdr:rowOff>190500</xdr:rowOff>
        </xdr:to>
        <xdr:sp macro="" textlink="">
          <xdr:nvSpPr>
            <xdr:cNvPr id="1146" name="Button 122" descr="OK&#10;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2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99</xdr:row>
          <xdr:rowOff>31750</xdr:rowOff>
        </xdr:from>
        <xdr:to>
          <xdr:col>15</xdr:col>
          <xdr:colOff>565150</xdr:colOff>
          <xdr:row>99</xdr:row>
          <xdr:rowOff>190500</xdr:rowOff>
        </xdr:to>
        <xdr:sp macro="" textlink="">
          <xdr:nvSpPr>
            <xdr:cNvPr id="1148" name="Button 124" descr="OK&#10;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2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100</xdr:row>
          <xdr:rowOff>31750</xdr:rowOff>
        </xdr:from>
        <xdr:to>
          <xdr:col>15</xdr:col>
          <xdr:colOff>565150</xdr:colOff>
          <xdr:row>100</xdr:row>
          <xdr:rowOff>190500</xdr:rowOff>
        </xdr:to>
        <xdr:sp macro="" textlink="">
          <xdr:nvSpPr>
            <xdr:cNvPr id="1149" name="Button 125" descr="OK&#10;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2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101</xdr:row>
          <xdr:rowOff>31750</xdr:rowOff>
        </xdr:from>
        <xdr:to>
          <xdr:col>15</xdr:col>
          <xdr:colOff>565150</xdr:colOff>
          <xdr:row>101</xdr:row>
          <xdr:rowOff>190500</xdr:rowOff>
        </xdr:to>
        <xdr:sp macro="" textlink="">
          <xdr:nvSpPr>
            <xdr:cNvPr id="1151" name="Button 127" descr="OK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2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102</xdr:row>
          <xdr:rowOff>31750</xdr:rowOff>
        </xdr:from>
        <xdr:to>
          <xdr:col>15</xdr:col>
          <xdr:colOff>565150</xdr:colOff>
          <xdr:row>102</xdr:row>
          <xdr:rowOff>190500</xdr:rowOff>
        </xdr:to>
        <xdr:sp macro="" textlink="">
          <xdr:nvSpPr>
            <xdr:cNvPr id="1152" name="Button 128" descr="OK&#10;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2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103</xdr:row>
          <xdr:rowOff>31750</xdr:rowOff>
        </xdr:from>
        <xdr:to>
          <xdr:col>15</xdr:col>
          <xdr:colOff>565150</xdr:colOff>
          <xdr:row>103</xdr:row>
          <xdr:rowOff>190500</xdr:rowOff>
        </xdr:to>
        <xdr:sp macro="" textlink="">
          <xdr:nvSpPr>
            <xdr:cNvPr id="1154" name="Button 130" descr="OK&#10;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2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104</xdr:row>
          <xdr:rowOff>31750</xdr:rowOff>
        </xdr:from>
        <xdr:to>
          <xdr:col>15</xdr:col>
          <xdr:colOff>565150</xdr:colOff>
          <xdr:row>104</xdr:row>
          <xdr:rowOff>190500</xdr:rowOff>
        </xdr:to>
        <xdr:sp macro="" textlink="">
          <xdr:nvSpPr>
            <xdr:cNvPr id="1155" name="Button 131" descr="OK&#10;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2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105</xdr:row>
          <xdr:rowOff>31750</xdr:rowOff>
        </xdr:from>
        <xdr:to>
          <xdr:col>15</xdr:col>
          <xdr:colOff>565150</xdr:colOff>
          <xdr:row>105</xdr:row>
          <xdr:rowOff>190500</xdr:rowOff>
        </xdr:to>
        <xdr:sp macro="" textlink="">
          <xdr:nvSpPr>
            <xdr:cNvPr id="1157" name="Button 133" descr="OK&#10;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2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106</xdr:row>
          <xdr:rowOff>31750</xdr:rowOff>
        </xdr:from>
        <xdr:to>
          <xdr:col>15</xdr:col>
          <xdr:colOff>565150</xdr:colOff>
          <xdr:row>106</xdr:row>
          <xdr:rowOff>190500</xdr:rowOff>
        </xdr:to>
        <xdr:sp macro="" textlink="">
          <xdr:nvSpPr>
            <xdr:cNvPr id="1158" name="Button 134" descr="OK&#10;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2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107</xdr:row>
          <xdr:rowOff>31750</xdr:rowOff>
        </xdr:from>
        <xdr:to>
          <xdr:col>15</xdr:col>
          <xdr:colOff>565150</xdr:colOff>
          <xdr:row>107</xdr:row>
          <xdr:rowOff>190500</xdr:rowOff>
        </xdr:to>
        <xdr:sp macro="" textlink="">
          <xdr:nvSpPr>
            <xdr:cNvPr id="1160" name="Button 136" descr="OK&#10;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2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108</xdr:row>
          <xdr:rowOff>31750</xdr:rowOff>
        </xdr:from>
        <xdr:to>
          <xdr:col>15</xdr:col>
          <xdr:colOff>565150</xdr:colOff>
          <xdr:row>108</xdr:row>
          <xdr:rowOff>190500</xdr:rowOff>
        </xdr:to>
        <xdr:sp macro="" textlink="">
          <xdr:nvSpPr>
            <xdr:cNvPr id="1162" name="Button 138" descr="OK&#10;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2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109</xdr:row>
          <xdr:rowOff>31750</xdr:rowOff>
        </xdr:from>
        <xdr:to>
          <xdr:col>15</xdr:col>
          <xdr:colOff>565150</xdr:colOff>
          <xdr:row>109</xdr:row>
          <xdr:rowOff>190500</xdr:rowOff>
        </xdr:to>
        <xdr:sp macro="" textlink="">
          <xdr:nvSpPr>
            <xdr:cNvPr id="1164" name="Button 140" descr="OK&#10;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2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110</xdr:row>
          <xdr:rowOff>31750</xdr:rowOff>
        </xdr:from>
        <xdr:to>
          <xdr:col>15</xdr:col>
          <xdr:colOff>565150</xdr:colOff>
          <xdr:row>110</xdr:row>
          <xdr:rowOff>190500</xdr:rowOff>
        </xdr:to>
        <xdr:sp macro="" textlink="">
          <xdr:nvSpPr>
            <xdr:cNvPr id="1167" name="Button 143" descr="OK&#10;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2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111</xdr:row>
          <xdr:rowOff>31750</xdr:rowOff>
        </xdr:from>
        <xdr:to>
          <xdr:col>15</xdr:col>
          <xdr:colOff>565150</xdr:colOff>
          <xdr:row>111</xdr:row>
          <xdr:rowOff>190500</xdr:rowOff>
        </xdr:to>
        <xdr:sp macro="" textlink="">
          <xdr:nvSpPr>
            <xdr:cNvPr id="1168" name="Button 144" descr="OK&#10;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2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112</xdr:row>
          <xdr:rowOff>31750</xdr:rowOff>
        </xdr:from>
        <xdr:to>
          <xdr:col>15</xdr:col>
          <xdr:colOff>565150</xdr:colOff>
          <xdr:row>112</xdr:row>
          <xdr:rowOff>190500</xdr:rowOff>
        </xdr:to>
        <xdr:sp macro="" textlink="">
          <xdr:nvSpPr>
            <xdr:cNvPr id="1170" name="Button 146" descr="OK&#10;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2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113</xdr:row>
          <xdr:rowOff>31750</xdr:rowOff>
        </xdr:from>
        <xdr:to>
          <xdr:col>15</xdr:col>
          <xdr:colOff>565150</xdr:colOff>
          <xdr:row>113</xdr:row>
          <xdr:rowOff>190500</xdr:rowOff>
        </xdr:to>
        <xdr:sp macro="" textlink="">
          <xdr:nvSpPr>
            <xdr:cNvPr id="1173" name="Button 149" descr="OK&#10;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2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114</xdr:row>
          <xdr:rowOff>31750</xdr:rowOff>
        </xdr:from>
        <xdr:to>
          <xdr:col>15</xdr:col>
          <xdr:colOff>565150</xdr:colOff>
          <xdr:row>114</xdr:row>
          <xdr:rowOff>190500</xdr:rowOff>
        </xdr:to>
        <xdr:sp macro="" textlink="">
          <xdr:nvSpPr>
            <xdr:cNvPr id="1175" name="Button 151" descr="OK&#10;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2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115</xdr:row>
          <xdr:rowOff>31750</xdr:rowOff>
        </xdr:from>
        <xdr:to>
          <xdr:col>15</xdr:col>
          <xdr:colOff>565150</xdr:colOff>
          <xdr:row>115</xdr:row>
          <xdr:rowOff>190500</xdr:rowOff>
        </xdr:to>
        <xdr:sp macro="" textlink="">
          <xdr:nvSpPr>
            <xdr:cNvPr id="1177" name="Button 153" descr="OK&#10;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2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116</xdr:row>
          <xdr:rowOff>31750</xdr:rowOff>
        </xdr:from>
        <xdr:to>
          <xdr:col>15</xdr:col>
          <xdr:colOff>565150</xdr:colOff>
          <xdr:row>116</xdr:row>
          <xdr:rowOff>190500</xdr:rowOff>
        </xdr:to>
        <xdr:sp macro="" textlink="">
          <xdr:nvSpPr>
            <xdr:cNvPr id="1179" name="Button 155" descr="OK&#10;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2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117</xdr:row>
          <xdr:rowOff>31750</xdr:rowOff>
        </xdr:from>
        <xdr:to>
          <xdr:col>15</xdr:col>
          <xdr:colOff>565150</xdr:colOff>
          <xdr:row>117</xdr:row>
          <xdr:rowOff>190500</xdr:rowOff>
        </xdr:to>
        <xdr:sp macro="" textlink="">
          <xdr:nvSpPr>
            <xdr:cNvPr id="1183" name="Button 159" descr="OK&#10;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2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117</xdr:row>
          <xdr:rowOff>31750</xdr:rowOff>
        </xdr:from>
        <xdr:to>
          <xdr:col>15</xdr:col>
          <xdr:colOff>565150</xdr:colOff>
          <xdr:row>117</xdr:row>
          <xdr:rowOff>190500</xdr:rowOff>
        </xdr:to>
        <xdr:sp macro="" textlink="">
          <xdr:nvSpPr>
            <xdr:cNvPr id="1184" name="Button 160" descr="OK&#10;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2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118</xdr:row>
          <xdr:rowOff>38100</xdr:rowOff>
        </xdr:from>
        <xdr:to>
          <xdr:col>15</xdr:col>
          <xdr:colOff>565150</xdr:colOff>
          <xdr:row>118</xdr:row>
          <xdr:rowOff>203200</xdr:rowOff>
        </xdr:to>
        <xdr:sp macro="" textlink="">
          <xdr:nvSpPr>
            <xdr:cNvPr id="1185" name="Button 161" descr="OK&#10;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2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119</xdr:row>
          <xdr:rowOff>38100</xdr:rowOff>
        </xdr:from>
        <xdr:to>
          <xdr:col>15</xdr:col>
          <xdr:colOff>565150</xdr:colOff>
          <xdr:row>119</xdr:row>
          <xdr:rowOff>203200</xdr:rowOff>
        </xdr:to>
        <xdr:sp macro="" textlink="">
          <xdr:nvSpPr>
            <xdr:cNvPr id="1187" name="Button 163" descr="OK&#10;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2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120</xdr:row>
          <xdr:rowOff>38100</xdr:rowOff>
        </xdr:from>
        <xdr:to>
          <xdr:col>15</xdr:col>
          <xdr:colOff>565150</xdr:colOff>
          <xdr:row>120</xdr:row>
          <xdr:rowOff>203200</xdr:rowOff>
        </xdr:to>
        <xdr:sp macro="" textlink="">
          <xdr:nvSpPr>
            <xdr:cNvPr id="1188" name="Button 164" descr="OK&#10;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2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121</xdr:row>
          <xdr:rowOff>38100</xdr:rowOff>
        </xdr:from>
        <xdr:to>
          <xdr:col>15</xdr:col>
          <xdr:colOff>565150</xdr:colOff>
          <xdr:row>121</xdr:row>
          <xdr:rowOff>203200</xdr:rowOff>
        </xdr:to>
        <xdr:sp macro="" textlink="">
          <xdr:nvSpPr>
            <xdr:cNvPr id="1189" name="Button 165" descr="OK&#10;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2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122</xdr:row>
          <xdr:rowOff>38100</xdr:rowOff>
        </xdr:from>
        <xdr:to>
          <xdr:col>15</xdr:col>
          <xdr:colOff>565150</xdr:colOff>
          <xdr:row>122</xdr:row>
          <xdr:rowOff>203200</xdr:rowOff>
        </xdr:to>
        <xdr:sp macro="" textlink="">
          <xdr:nvSpPr>
            <xdr:cNvPr id="1191" name="Button 167" descr="OK&#10;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2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123</xdr:row>
          <xdr:rowOff>38100</xdr:rowOff>
        </xdr:from>
        <xdr:to>
          <xdr:col>15</xdr:col>
          <xdr:colOff>565150</xdr:colOff>
          <xdr:row>123</xdr:row>
          <xdr:rowOff>203200</xdr:rowOff>
        </xdr:to>
        <xdr:sp macro="" textlink="">
          <xdr:nvSpPr>
            <xdr:cNvPr id="1194" name="Button 170" descr="OK&#10;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2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124</xdr:row>
          <xdr:rowOff>38100</xdr:rowOff>
        </xdr:from>
        <xdr:to>
          <xdr:col>15</xdr:col>
          <xdr:colOff>565150</xdr:colOff>
          <xdr:row>124</xdr:row>
          <xdr:rowOff>203200</xdr:rowOff>
        </xdr:to>
        <xdr:sp macro="" textlink="">
          <xdr:nvSpPr>
            <xdr:cNvPr id="1196" name="Button 172" descr="OK&#10;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2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125</xdr:row>
          <xdr:rowOff>38100</xdr:rowOff>
        </xdr:from>
        <xdr:to>
          <xdr:col>15</xdr:col>
          <xdr:colOff>565150</xdr:colOff>
          <xdr:row>125</xdr:row>
          <xdr:rowOff>203200</xdr:rowOff>
        </xdr:to>
        <xdr:sp macro="" textlink="">
          <xdr:nvSpPr>
            <xdr:cNvPr id="1198" name="Button 174" descr="OK&#10;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2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126</xdr:row>
          <xdr:rowOff>38100</xdr:rowOff>
        </xdr:from>
        <xdr:to>
          <xdr:col>15</xdr:col>
          <xdr:colOff>565150</xdr:colOff>
          <xdr:row>126</xdr:row>
          <xdr:rowOff>203200</xdr:rowOff>
        </xdr:to>
        <xdr:sp macro="" textlink="">
          <xdr:nvSpPr>
            <xdr:cNvPr id="1200" name="Button 176" descr="OK&#10;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2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127</xdr:row>
          <xdr:rowOff>38100</xdr:rowOff>
        </xdr:from>
        <xdr:to>
          <xdr:col>15</xdr:col>
          <xdr:colOff>565150</xdr:colOff>
          <xdr:row>127</xdr:row>
          <xdr:rowOff>203200</xdr:rowOff>
        </xdr:to>
        <xdr:sp macro="" textlink="">
          <xdr:nvSpPr>
            <xdr:cNvPr id="1202" name="Button 178" descr="OK&#10;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2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128</xdr:row>
          <xdr:rowOff>38100</xdr:rowOff>
        </xdr:from>
        <xdr:to>
          <xdr:col>15</xdr:col>
          <xdr:colOff>565150</xdr:colOff>
          <xdr:row>128</xdr:row>
          <xdr:rowOff>203200</xdr:rowOff>
        </xdr:to>
        <xdr:sp macro="" textlink="">
          <xdr:nvSpPr>
            <xdr:cNvPr id="1204" name="Button 180" descr="OK&#10;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2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129</xdr:row>
          <xdr:rowOff>38100</xdr:rowOff>
        </xdr:from>
        <xdr:to>
          <xdr:col>15</xdr:col>
          <xdr:colOff>565150</xdr:colOff>
          <xdr:row>129</xdr:row>
          <xdr:rowOff>203200</xdr:rowOff>
        </xdr:to>
        <xdr:sp macro="" textlink="">
          <xdr:nvSpPr>
            <xdr:cNvPr id="1207" name="Button 183" descr="OK&#10;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2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130</xdr:row>
          <xdr:rowOff>38100</xdr:rowOff>
        </xdr:from>
        <xdr:to>
          <xdr:col>15</xdr:col>
          <xdr:colOff>565150</xdr:colOff>
          <xdr:row>130</xdr:row>
          <xdr:rowOff>203200</xdr:rowOff>
        </xdr:to>
        <xdr:sp macro="" textlink="">
          <xdr:nvSpPr>
            <xdr:cNvPr id="1211" name="Button 187" descr="OK&#10;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2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131</xdr:row>
          <xdr:rowOff>38100</xdr:rowOff>
        </xdr:from>
        <xdr:to>
          <xdr:col>15</xdr:col>
          <xdr:colOff>565150</xdr:colOff>
          <xdr:row>131</xdr:row>
          <xdr:rowOff>203200</xdr:rowOff>
        </xdr:to>
        <xdr:sp macro="" textlink="">
          <xdr:nvSpPr>
            <xdr:cNvPr id="1212" name="Button 188" descr="OK&#10;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2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132</xdr:row>
          <xdr:rowOff>38100</xdr:rowOff>
        </xdr:from>
        <xdr:to>
          <xdr:col>15</xdr:col>
          <xdr:colOff>565150</xdr:colOff>
          <xdr:row>132</xdr:row>
          <xdr:rowOff>203200</xdr:rowOff>
        </xdr:to>
        <xdr:sp macro="" textlink="">
          <xdr:nvSpPr>
            <xdr:cNvPr id="1214" name="Button 190" descr="OK&#10;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2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133</xdr:row>
          <xdr:rowOff>38100</xdr:rowOff>
        </xdr:from>
        <xdr:to>
          <xdr:col>15</xdr:col>
          <xdr:colOff>565150</xdr:colOff>
          <xdr:row>133</xdr:row>
          <xdr:rowOff>203200</xdr:rowOff>
        </xdr:to>
        <xdr:sp macro="" textlink="">
          <xdr:nvSpPr>
            <xdr:cNvPr id="1217" name="Button 193" descr="OK&#10;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2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134</xdr:row>
          <xdr:rowOff>38100</xdr:rowOff>
        </xdr:from>
        <xdr:to>
          <xdr:col>15</xdr:col>
          <xdr:colOff>565150</xdr:colOff>
          <xdr:row>134</xdr:row>
          <xdr:rowOff>203200</xdr:rowOff>
        </xdr:to>
        <xdr:sp macro="" textlink="">
          <xdr:nvSpPr>
            <xdr:cNvPr id="1219" name="Button 195" descr="OK&#10;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2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135</xdr:row>
          <xdr:rowOff>38100</xdr:rowOff>
        </xdr:from>
        <xdr:to>
          <xdr:col>15</xdr:col>
          <xdr:colOff>565150</xdr:colOff>
          <xdr:row>135</xdr:row>
          <xdr:rowOff>203200</xdr:rowOff>
        </xdr:to>
        <xdr:sp macro="" textlink="">
          <xdr:nvSpPr>
            <xdr:cNvPr id="1221" name="Button 197" descr="OK&#10;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2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136</xdr:row>
          <xdr:rowOff>38100</xdr:rowOff>
        </xdr:from>
        <xdr:to>
          <xdr:col>15</xdr:col>
          <xdr:colOff>565150</xdr:colOff>
          <xdr:row>136</xdr:row>
          <xdr:rowOff>203200</xdr:rowOff>
        </xdr:to>
        <xdr:sp macro="" textlink="">
          <xdr:nvSpPr>
            <xdr:cNvPr id="1224" name="Button 200" descr="OK&#10;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2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137</xdr:row>
          <xdr:rowOff>38100</xdr:rowOff>
        </xdr:from>
        <xdr:to>
          <xdr:col>15</xdr:col>
          <xdr:colOff>565150</xdr:colOff>
          <xdr:row>137</xdr:row>
          <xdr:rowOff>203200</xdr:rowOff>
        </xdr:to>
        <xdr:sp macro="" textlink="">
          <xdr:nvSpPr>
            <xdr:cNvPr id="1227" name="Button 203" descr="OK&#10;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2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138</xdr:row>
          <xdr:rowOff>38100</xdr:rowOff>
        </xdr:from>
        <xdr:to>
          <xdr:col>15</xdr:col>
          <xdr:colOff>565150</xdr:colOff>
          <xdr:row>138</xdr:row>
          <xdr:rowOff>203200</xdr:rowOff>
        </xdr:to>
        <xdr:sp macro="" textlink="">
          <xdr:nvSpPr>
            <xdr:cNvPr id="1229" name="Button 205" descr="OK&#10;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2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139</xdr:row>
          <xdr:rowOff>38100</xdr:rowOff>
        </xdr:from>
        <xdr:to>
          <xdr:col>15</xdr:col>
          <xdr:colOff>565150</xdr:colOff>
          <xdr:row>139</xdr:row>
          <xdr:rowOff>203200</xdr:rowOff>
        </xdr:to>
        <xdr:sp macro="" textlink="">
          <xdr:nvSpPr>
            <xdr:cNvPr id="1231" name="Button 207" descr="OK&#10;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2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140</xdr:row>
          <xdr:rowOff>38100</xdr:rowOff>
        </xdr:from>
        <xdr:to>
          <xdr:col>15</xdr:col>
          <xdr:colOff>565150</xdr:colOff>
          <xdr:row>140</xdr:row>
          <xdr:rowOff>203200</xdr:rowOff>
        </xdr:to>
        <xdr:sp macro="" textlink="">
          <xdr:nvSpPr>
            <xdr:cNvPr id="1233" name="Button 209" descr="OK&#10;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2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141</xdr:row>
          <xdr:rowOff>38100</xdr:rowOff>
        </xdr:from>
        <xdr:to>
          <xdr:col>15</xdr:col>
          <xdr:colOff>565150</xdr:colOff>
          <xdr:row>141</xdr:row>
          <xdr:rowOff>203200</xdr:rowOff>
        </xdr:to>
        <xdr:sp macro="" textlink="">
          <xdr:nvSpPr>
            <xdr:cNvPr id="1235" name="Button 211" descr="OK&#10;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2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142</xdr:row>
          <xdr:rowOff>38100</xdr:rowOff>
        </xdr:from>
        <xdr:to>
          <xdr:col>15</xdr:col>
          <xdr:colOff>565150</xdr:colOff>
          <xdr:row>142</xdr:row>
          <xdr:rowOff>203200</xdr:rowOff>
        </xdr:to>
        <xdr:sp macro="" textlink="">
          <xdr:nvSpPr>
            <xdr:cNvPr id="1238" name="Button 214" descr="OK&#10;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2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143</xdr:row>
          <xdr:rowOff>38100</xdr:rowOff>
        </xdr:from>
        <xdr:to>
          <xdr:col>15</xdr:col>
          <xdr:colOff>565150</xdr:colOff>
          <xdr:row>143</xdr:row>
          <xdr:rowOff>203200</xdr:rowOff>
        </xdr:to>
        <xdr:sp macro="" textlink="">
          <xdr:nvSpPr>
            <xdr:cNvPr id="1240" name="Button 216" descr="OK&#10;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2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144</xdr:row>
          <xdr:rowOff>38100</xdr:rowOff>
        </xdr:from>
        <xdr:to>
          <xdr:col>15</xdr:col>
          <xdr:colOff>565150</xdr:colOff>
          <xdr:row>144</xdr:row>
          <xdr:rowOff>203200</xdr:rowOff>
        </xdr:to>
        <xdr:sp macro="" textlink="">
          <xdr:nvSpPr>
            <xdr:cNvPr id="1242" name="Button 218" descr="OK&#10;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2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145</xdr:row>
          <xdr:rowOff>38100</xdr:rowOff>
        </xdr:from>
        <xdr:to>
          <xdr:col>15</xdr:col>
          <xdr:colOff>565150</xdr:colOff>
          <xdr:row>145</xdr:row>
          <xdr:rowOff>203200</xdr:rowOff>
        </xdr:to>
        <xdr:sp macro="" textlink="">
          <xdr:nvSpPr>
            <xdr:cNvPr id="1245" name="Button 221" descr="OK&#10;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2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146</xdr:row>
          <xdr:rowOff>38100</xdr:rowOff>
        </xdr:from>
        <xdr:to>
          <xdr:col>15</xdr:col>
          <xdr:colOff>565150</xdr:colOff>
          <xdr:row>146</xdr:row>
          <xdr:rowOff>203200</xdr:rowOff>
        </xdr:to>
        <xdr:sp macro="" textlink="">
          <xdr:nvSpPr>
            <xdr:cNvPr id="1247" name="Button 223" descr="OK&#10;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2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147</xdr:row>
          <xdr:rowOff>38100</xdr:rowOff>
        </xdr:from>
        <xdr:to>
          <xdr:col>15</xdr:col>
          <xdr:colOff>565150</xdr:colOff>
          <xdr:row>147</xdr:row>
          <xdr:rowOff>203200</xdr:rowOff>
        </xdr:to>
        <xdr:sp macro="" textlink="">
          <xdr:nvSpPr>
            <xdr:cNvPr id="1249" name="Button 225" descr="OK&#10;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2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2428875</xdr:colOff>
      <xdr:row>0</xdr:row>
      <xdr:rowOff>107157</xdr:rowOff>
    </xdr:from>
    <xdr:to>
      <xdr:col>3</xdr:col>
      <xdr:colOff>3125788</xdr:colOff>
      <xdr:row>0</xdr:row>
      <xdr:rowOff>354807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1B4EDC-04B6-B6F2-7800-CE31C8E20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2594" y="107157"/>
          <a:ext cx="696913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148</xdr:row>
          <xdr:rowOff>38100</xdr:rowOff>
        </xdr:from>
        <xdr:to>
          <xdr:col>15</xdr:col>
          <xdr:colOff>565150</xdr:colOff>
          <xdr:row>148</xdr:row>
          <xdr:rowOff>203200</xdr:rowOff>
        </xdr:to>
        <xdr:sp macro="" textlink="">
          <xdr:nvSpPr>
            <xdr:cNvPr id="1253" name="Button 229" descr="OK&#10;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2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149</xdr:row>
          <xdr:rowOff>38100</xdr:rowOff>
        </xdr:from>
        <xdr:to>
          <xdr:col>15</xdr:col>
          <xdr:colOff>565150</xdr:colOff>
          <xdr:row>149</xdr:row>
          <xdr:rowOff>203200</xdr:rowOff>
        </xdr:to>
        <xdr:sp macro="" textlink="">
          <xdr:nvSpPr>
            <xdr:cNvPr id="1254" name="Button 230" descr="OK&#10;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2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150</xdr:row>
          <xdr:rowOff>38100</xdr:rowOff>
        </xdr:from>
        <xdr:to>
          <xdr:col>15</xdr:col>
          <xdr:colOff>565150</xdr:colOff>
          <xdr:row>150</xdr:row>
          <xdr:rowOff>203200</xdr:rowOff>
        </xdr:to>
        <xdr:sp macro="" textlink="">
          <xdr:nvSpPr>
            <xdr:cNvPr id="1257" name="Button 233" descr="OK&#10;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2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151</xdr:row>
          <xdr:rowOff>38100</xdr:rowOff>
        </xdr:from>
        <xdr:to>
          <xdr:col>15</xdr:col>
          <xdr:colOff>565150</xdr:colOff>
          <xdr:row>151</xdr:row>
          <xdr:rowOff>203200</xdr:rowOff>
        </xdr:to>
        <xdr:sp macro="" textlink="">
          <xdr:nvSpPr>
            <xdr:cNvPr id="1258" name="Button 234" descr="OK&#10;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2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152</xdr:row>
          <xdr:rowOff>38100</xdr:rowOff>
        </xdr:from>
        <xdr:to>
          <xdr:col>15</xdr:col>
          <xdr:colOff>565150</xdr:colOff>
          <xdr:row>152</xdr:row>
          <xdr:rowOff>203200</xdr:rowOff>
        </xdr:to>
        <xdr:sp macro="" textlink="">
          <xdr:nvSpPr>
            <xdr:cNvPr id="1259" name="Button 235" descr="OK&#10;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2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153</xdr:row>
          <xdr:rowOff>38100</xdr:rowOff>
        </xdr:from>
        <xdr:to>
          <xdr:col>15</xdr:col>
          <xdr:colOff>565150</xdr:colOff>
          <xdr:row>153</xdr:row>
          <xdr:rowOff>203200</xdr:rowOff>
        </xdr:to>
        <xdr:sp macro="" textlink="">
          <xdr:nvSpPr>
            <xdr:cNvPr id="1260" name="Button 236" descr="OK&#10;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2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154</xdr:row>
          <xdr:rowOff>38100</xdr:rowOff>
        </xdr:from>
        <xdr:to>
          <xdr:col>15</xdr:col>
          <xdr:colOff>565150</xdr:colOff>
          <xdr:row>154</xdr:row>
          <xdr:rowOff>203200</xdr:rowOff>
        </xdr:to>
        <xdr:sp macro="" textlink="">
          <xdr:nvSpPr>
            <xdr:cNvPr id="1262" name="Button 238" descr="OK&#10;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2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155</xdr:row>
          <xdr:rowOff>38100</xdr:rowOff>
        </xdr:from>
        <xdr:to>
          <xdr:col>15</xdr:col>
          <xdr:colOff>565150</xdr:colOff>
          <xdr:row>155</xdr:row>
          <xdr:rowOff>203200</xdr:rowOff>
        </xdr:to>
        <xdr:sp macro="" textlink="">
          <xdr:nvSpPr>
            <xdr:cNvPr id="1263" name="Button 239" descr="OK&#10;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2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156</xdr:row>
          <xdr:rowOff>38100</xdr:rowOff>
        </xdr:from>
        <xdr:to>
          <xdr:col>15</xdr:col>
          <xdr:colOff>565150</xdr:colOff>
          <xdr:row>156</xdr:row>
          <xdr:rowOff>203200</xdr:rowOff>
        </xdr:to>
        <xdr:sp macro="" textlink="">
          <xdr:nvSpPr>
            <xdr:cNvPr id="1266" name="Button 242" descr="OK&#10;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2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157</xdr:row>
          <xdr:rowOff>38100</xdr:rowOff>
        </xdr:from>
        <xdr:to>
          <xdr:col>15</xdr:col>
          <xdr:colOff>565150</xdr:colOff>
          <xdr:row>157</xdr:row>
          <xdr:rowOff>203200</xdr:rowOff>
        </xdr:to>
        <xdr:sp macro="" textlink="">
          <xdr:nvSpPr>
            <xdr:cNvPr id="1268" name="Button 244" descr="OK&#10;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2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158</xdr:row>
          <xdr:rowOff>38100</xdr:rowOff>
        </xdr:from>
        <xdr:to>
          <xdr:col>15</xdr:col>
          <xdr:colOff>565150</xdr:colOff>
          <xdr:row>158</xdr:row>
          <xdr:rowOff>203200</xdr:rowOff>
        </xdr:to>
        <xdr:sp macro="" textlink="">
          <xdr:nvSpPr>
            <xdr:cNvPr id="1270" name="Button 246" descr="OK&#10;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2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159</xdr:row>
          <xdr:rowOff>38100</xdr:rowOff>
        </xdr:from>
        <xdr:to>
          <xdr:col>15</xdr:col>
          <xdr:colOff>565150</xdr:colOff>
          <xdr:row>159</xdr:row>
          <xdr:rowOff>203200</xdr:rowOff>
        </xdr:to>
        <xdr:sp macro="" textlink="">
          <xdr:nvSpPr>
            <xdr:cNvPr id="1274" name="Button 250" descr="OK&#10;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2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160</xdr:row>
          <xdr:rowOff>38100</xdr:rowOff>
        </xdr:from>
        <xdr:to>
          <xdr:col>15</xdr:col>
          <xdr:colOff>565150</xdr:colOff>
          <xdr:row>160</xdr:row>
          <xdr:rowOff>203200</xdr:rowOff>
        </xdr:to>
        <xdr:sp macro="" textlink="">
          <xdr:nvSpPr>
            <xdr:cNvPr id="1276" name="Button 252" descr="OK&#10;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2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161</xdr:row>
          <xdr:rowOff>38100</xdr:rowOff>
        </xdr:from>
        <xdr:to>
          <xdr:col>15</xdr:col>
          <xdr:colOff>565150</xdr:colOff>
          <xdr:row>161</xdr:row>
          <xdr:rowOff>203200</xdr:rowOff>
        </xdr:to>
        <xdr:sp macro="" textlink="">
          <xdr:nvSpPr>
            <xdr:cNvPr id="1277" name="Button 253" descr="OK&#10;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2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162</xdr:row>
          <xdr:rowOff>38100</xdr:rowOff>
        </xdr:from>
        <xdr:to>
          <xdr:col>15</xdr:col>
          <xdr:colOff>565150</xdr:colOff>
          <xdr:row>162</xdr:row>
          <xdr:rowOff>203200</xdr:rowOff>
        </xdr:to>
        <xdr:sp macro="" textlink="">
          <xdr:nvSpPr>
            <xdr:cNvPr id="1279" name="Button 255" descr="OK&#10;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2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163</xdr:row>
          <xdr:rowOff>38100</xdr:rowOff>
        </xdr:from>
        <xdr:to>
          <xdr:col>15</xdr:col>
          <xdr:colOff>565150</xdr:colOff>
          <xdr:row>163</xdr:row>
          <xdr:rowOff>203200</xdr:rowOff>
        </xdr:to>
        <xdr:sp macro="" textlink="">
          <xdr:nvSpPr>
            <xdr:cNvPr id="1282" name="Button 258" descr="OK&#10;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2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164</xdr:row>
          <xdr:rowOff>38100</xdr:rowOff>
        </xdr:from>
        <xdr:to>
          <xdr:col>15</xdr:col>
          <xdr:colOff>565150</xdr:colOff>
          <xdr:row>164</xdr:row>
          <xdr:rowOff>203200</xdr:rowOff>
        </xdr:to>
        <xdr:sp macro="" textlink="">
          <xdr:nvSpPr>
            <xdr:cNvPr id="1285" name="Button 261" descr="OK&#10;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2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165</xdr:row>
          <xdr:rowOff>38100</xdr:rowOff>
        </xdr:from>
        <xdr:to>
          <xdr:col>15</xdr:col>
          <xdr:colOff>565150</xdr:colOff>
          <xdr:row>165</xdr:row>
          <xdr:rowOff>203200</xdr:rowOff>
        </xdr:to>
        <xdr:sp macro="" textlink="">
          <xdr:nvSpPr>
            <xdr:cNvPr id="1289" name="Button 265" descr="OK&#10;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2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166</xdr:row>
          <xdr:rowOff>38100</xdr:rowOff>
        </xdr:from>
        <xdr:to>
          <xdr:col>15</xdr:col>
          <xdr:colOff>565150</xdr:colOff>
          <xdr:row>166</xdr:row>
          <xdr:rowOff>203200</xdr:rowOff>
        </xdr:to>
        <xdr:sp macro="" textlink="">
          <xdr:nvSpPr>
            <xdr:cNvPr id="1291" name="Button 267" descr="OK&#10;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2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167</xdr:row>
          <xdr:rowOff>38100</xdr:rowOff>
        </xdr:from>
        <xdr:to>
          <xdr:col>15</xdr:col>
          <xdr:colOff>565150</xdr:colOff>
          <xdr:row>167</xdr:row>
          <xdr:rowOff>203200</xdr:rowOff>
        </xdr:to>
        <xdr:sp macro="" textlink="">
          <xdr:nvSpPr>
            <xdr:cNvPr id="1293" name="Button 269" descr="OK&#10;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2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168</xdr:row>
          <xdr:rowOff>38100</xdr:rowOff>
        </xdr:from>
        <xdr:to>
          <xdr:col>15</xdr:col>
          <xdr:colOff>565150</xdr:colOff>
          <xdr:row>168</xdr:row>
          <xdr:rowOff>203200</xdr:rowOff>
        </xdr:to>
        <xdr:sp macro="" textlink="">
          <xdr:nvSpPr>
            <xdr:cNvPr id="1295" name="Button 271" descr="OK&#10;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169</xdr:row>
          <xdr:rowOff>38100</xdr:rowOff>
        </xdr:from>
        <xdr:to>
          <xdr:col>15</xdr:col>
          <xdr:colOff>565150</xdr:colOff>
          <xdr:row>169</xdr:row>
          <xdr:rowOff>203200</xdr:rowOff>
        </xdr:to>
        <xdr:sp macro="" textlink="">
          <xdr:nvSpPr>
            <xdr:cNvPr id="1298" name="Button 274" descr="OK&#10;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2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170</xdr:row>
          <xdr:rowOff>38100</xdr:rowOff>
        </xdr:from>
        <xdr:to>
          <xdr:col>15</xdr:col>
          <xdr:colOff>565150</xdr:colOff>
          <xdr:row>170</xdr:row>
          <xdr:rowOff>203200</xdr:rowOff>
        </xdr:to>
        <xdr:sp macro="" textlink="">
          <xdr:nvSpPr>
            <xdr:cNvPr id="1300" name="Button 276" descr="OK&#10;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2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171</xdr:row>
          <xdr:rowOff>38100</xdr:rowOff>
        </xdr:from>
        <xdr:to>
          <xdr:col>15</xdr:col>
          <xdr:colOff>565150</xdr:colOff>
          <xdr:row>171</xdr:row>
          <xdr:rowOff>203200</xdr:rowOff>
        </xdr:to>
        <xdr:sp macro="" textlink="">
          <xdr:nvSpPr>
            <xdr:cNvPr id="1302" name="Button 278" descr="OK&#10;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2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172</xdr:row>
          <xdr:rowOff>38100</xdr:rowOff>
        </xdr:from>
        <xdr:to>
          <xdr:col>15</xdr:col>
          <xdr:colOff>565150</xdr:colOff>
          <xdr:row>172</xdr:row>
          <xdr:rowOff>203200</xdr:rowOff>
        </xdr:to>
        <xdr:sp macro="" textlink="">
          <xdr:nvSpPr>
            <xdr:cNvPr id="1304" name="Button 280" descr="OK&#10;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2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173</xdr:row>
          <xdr:rowOff>38100</xdr:rowOff>
        </xdr:from>
        <xdr:to>
          <xdr:col>15</xdr:col>
          <xdr:colOff>565150</xdr:colOff>
          <xdr:row>173</xdr:row>
          <xdr:rowOff>203200</xdr:rowOff>
        </xdr:to>
        <xdr:sp macro="" textlink="">
          <xdr:nvSpPr>
            <xdr:cNvPr id="1305" name="Button 281" descr="OK&#10;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2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174</xdr:row>
          <xdr:rowOff>38100</xdr:rowOff>
        </xdr:from>
        <xdr:to>
          <xdr:col>15</xdr:col>
          <xdr:colOff>565150</xdr:colOff>
          <xdr:row>174</xdr:row>
          <xdr:rowOff>203200</xdr:rowOff>
        </xdr:to>
        <xdr:sp macro="" textlink="">
          <xdr:nvSpPr>
            <xdr:cNvPr id="1306" name="Button 282" descr="OK&#10;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2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175</xdr:row>
          <xdr:rowOff>38100</xdr:rowOff>
        </xdr:from>
        <xdr:to>
          <xdr:col>15</xdr:col>
          <xdr:colOff>565150</xdr:colOff>
          <xdr:row>175</xdr:row>
          <xdr:rowOff>203200</xdr:rowOff>
        </xdr:to>
        <xdr:sp macro="" textlink="">
          <xdr:nvSpPr>
            <xdr:cNvPr id="1307" name="Button 283" descr="OK&#10;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2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176</xdr:row>
          <xdr:rowOff>38100</xdr:rowOff>
        </xdr:from>
        <xdr:to>
          <xdr:col>15</xdr:col>
          <xdr:colOff>565150</xdr:colOff>
          <xdr:row>176</xdr:row>
          <xdr:rowOff>203200</xdr:rowOff>
        </xdr:to>
        <xdr:sp macro="" textlink="">
          <xdr:nvSpPr>
            <xdr:cNvPr id="1308" name="Button 284" descr="OK&#10;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2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177</xdr:row>
          <xdr:rowOff>38100</xdr:rowOff>
        </xdr:from>
        <xdr:to>
          <xdr:col>15</xdr:col>
          <xdr:colOff>565150</xdr:colOff>
          <xdr:row>177</xdr:row>
          <xdr:rowOff>203200</xdr:rowOff>
        </xdr:to>
        <xdr:sp macro="" textlink="">
          <xdr:nvSpPr>
            <xdr:cNvPr id="1309" name="Button 285" descr="OK&#10;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2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178</xdr:row>
          <xdr:rowOff>38100</xdr:rowOff>
        </xdr:from>
        <xdr:to>
          <xdr:col>15</xdr:col>
          <xdr:colOff>565150</xdr:colOff>
          <xdr:row>178</xdr:row>
          <xdr:rowOff>203200</xdr:rowOff>
        </xdr:to>
        <xdr:sp macro="" textlink="">
          <xdr:nvSpPr>
            <xdr:cNvPr id="1310" name="Button 286" descr="OK&#10;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2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179</xdr:row>
          <xdr:rowOff>38100</xdr:rowOff>
        </xdr:from>
        <xdr:to>
          <xdr:col>15</xdr:col>
          <xdr:colOff>565150</xdr:colOff>
          <xdr:row>179</xdr:row>
          <xdr:rowOff>203200</xdr:rowOff>
        </xdr:to>
        <xdr:sp macro="" textlink="">
          <xdr:nvSpPr>
            <xdr:cNvPr id="1311" name="Button 287" descr="OK&#10;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2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180</xdr:row>
          <xdr:rowOff>38100</xdr:rowOff>
        </xdr:from>
        <xdr:to>
          <xdr:col>15</xdr:col>
          <xdr:colOff>565150</xdr:colOff>
          <xdr:row>180</xdr:row>
          <xdr:rowOff>203200</xdr:rowOff>
        </xdr:to>
        <xdr:sp macro="" textlink="">
          <xdr:nvSpPr>
            <xdr:cNvPr id="1312" name="Button 288" descr="OK&#10;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2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181</xdr:row>
          <xdr:rowOff>38100</xdr:rowOff>
        </xdr:from>
        <xdr:to>
          <xdr:col>15</xdr:col>
          <xdr:colOff>565150</xdr:colOff>
          <xdr:row>181</xdr:row>
          <xdr:rowOff>203200</xdr:rowOff>
        </xdr:to>
        <xdr:sp macro="" textlink="">
          <xdr:nvSpPr>
            <xdr:cNvPr id="1313" name="Button 289" descr="OK&#10;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2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182</xdr:row>
          <xdr:rowOff>38100</xdr:rowOff>
        </xdr:from>
        <xdr:to>
          <xdr:col>15</xdr:col>
          <xdr:colOff>565150</xdr:colOff>
          <xdr:row>182</xdr:row>
          <xdr:rowOff>203200</xdr:rowOff>
        </xdr:to>
        <xdr:sp macro="" textlink="">
          <xdr:nvSpPr>
            <xdr:cNvPr id="1314" name="Button 290" descr="OK&#10;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2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183</xdr:row>
          <xdr:rowOff>38100</xdr:rowOff>
        </xdr:from>
        <xdr:to>
          <xdr:col>15</xdr:col>
          <xdr:colOff>565150</xdr:colOff>
          <xdr:row>183</xdr:row>
          <xdr:rowOff>203200</xdr:rowOff>
        </xdr:to>
        <xdr:sp macro="" textlink="">
          <xdr:nvSpPr>
            <xdr:cNvPr id="1315" name="Button 291" descr="OK&#10;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2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184</xdr:row>
          <xdr:rowOff>38100</xdr:rowOff>
        </xdr:from>
        <xdr:to>
          <xdr:col>15</xdr:col>
          <xdr:colOff>565150</xdr:colOff>
          <xdr:row>184</xdr:row>
          <xdr:rowOff>203200</xdr:rowOff>
        </xdr:to>
        <xdr:sp macro="" textlink="">
          <xdr:nvSpPr>
            <xdr:cNvPr id="1318" name="Button 294" descr="OK&#10;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2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185</xdr:row>
          <xdr:rowOff>38100</xdr:rowOff>
        </xdr:from>
        <xdr:to>
          <xdr:col>15</xdr:col>
          <xdr:colOff>565150</xdr:colOff>
          <xdr:row>185</xdr:row>
          <xdr:rowOff>203200</xdr:rowOff>
        </xdr:to>
        <xdr:sp macro="" textlink="">
          <xdr:nvSpPr>
            <xdr:cNvPr id="1320" name="Button 296" descr="OK&#10;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2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186</xdr:row>
          <xdr:rowOff>38100</xdr:rowOff>
        </xdr:from>
        <xdr:to>
          <xdr:col>15</xdr:col>
          <xdr:colOff>565150</xdr:colOff>
          <xdr:row>186</xdr:row>
          <xdr:rowOff>203200</xdr:rowOff>
        </xdr:to>
        <xdr:sp macro="" textlink="">
          <xdr:nvSpPr>
            <xdr:cNvPr id="1322" name="Button 298" descr="OK&#10;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2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187</xdr:row>
          <xdr:rowOff>38100</xdr:rowOff>
        </xdr:from>
        <xdr:to>
          <xdr:col>15</xdr:col>
          <xdr:colOff>565150</xdr:colOff>
          <xdr:row>187</xdr:row>
          <xdr:rowOff>203200</xdr:rowOff>
        </xdr:to>
        <xdr:sp macro="" textlink="">
          <xdr:nvSpPr>
            <xdr:cNvPr id="1323" name="Button 299" descr="OK&#10;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2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188</xdr:row>
          <xdr:rowOff>38100</xdr:rowOff>
        </xdr:from>
        <xdr:to>
          <xdr:col>15</xdr:col>
          <xdr:colOff>565150</xdr:colOff>
          <xdr:row>188</xdr:row>
          <xdr:rowOff>203200</xdr:rowOff>
        </xdr:to>
        <xdr:sp macro="" textlink="">
          <xdr:nvSpPr>
            <xdr:cNvPr id="1324" name="Button 300" descr="OK&#10;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2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189</xdr:row>
          <xdr:rowOff>38100</xdr:rowOff>
        </xdr:from>
        <xdr:to>
          <xdr:col>15</xdr:col>
          <xdr:colOff>565150</xdr:colOff>
          <xdr:row>189</xdr:row>
          <xdr:rowOff>203200</xdr:rowOff>
        </xdr:to>
        <xdr:sp macro="" textlink="">
          <xdr:nvSpPr>
            <xdr:cNvPr id="1326" name="Button 302" descr="OK&#10;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2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190</xdr:row>
          <xdr:rowOff>38100</xdr:rowOff>
        </xdr:from>
        <xdr:to>
          <xdr:col>15</xdr:col>
          <xdr:colOff>565150</xdr:colOff>
          <xdr:row>190</xdr:row>
          <xdr:rowOff>203200</xdr:rowOff>
        </xdr:to>
        <xdr:sp macro="" textlink="">
          <xdr:nvSpPr>
            <xdr:cNvPr id="1328" name="Button 304" descr="OK&#10;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2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191</xdr:row>
          <xdr:rowOff>38100</xdr:rowOff>
        </xdr:from>
        <xdr:to>
          <xdr:col>15</xdr:col>
          <xdr:colOff>565150</xdr:colOff>
          <xdr:row>191</xdr:row>
          <xdr:rowOff>203200</xdr:rowOff>
        </xdr:to>
        <xdr:sp macro="" textlink="">
          <xdr:nvSpPr>
            <xdr:cNvPr id="1329" name="Button 305" descr="OK&#10;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2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192</xdr:row>
          <xdr:rowOff>38100</xdr:rowOff>
        </xdr:from>
        <xdr:to>
          <xdr:col>15</xdr:col>
          <xdr:colOff>565150</xdr:colOff>
          <xdr:row>192</xdr:row>
          <xdr:rowOff>203200</xdr:rowOff>
        </xdr:to>
        <xdr:sp macro="" textlink="">
          <xdr:nvSpPr>
            <xdr:cNvPr id="1330" name="Button 306" descr="OK&#10;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2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193</xdr:row>
          <xdr:rowOff>38100</xdr:rowOff>
        </xdr:from>
        <xdr:to>
          <xdr:col>15</xdr:col>
          <xdr:colOff>565150</xdr:colOff>
          <xdr:row>193</xdr:row>
          <xdr:rowOff>203200</xdr:rowOff>
        </xdr:to>
        <xdr:sp macro="" textlink="">
          <xdr:nvSpPr>
            <xdr:cNvPr id="1331" name="Button 307" descr="OK&#10;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2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194</xdr:row>
          <xdr:rowOff>38100</xdr:rowOff>
        </xdr:from>
        <xdr:to>
          <xdr:col>15</xdr:col>
          <xdr:colOff>565150</xdr:colOff>
          <xdr:row>194</xdr:row>
          <xdr:rowOff>203200</xdr:rowOff>
        </xdr:to>
        <xdr:sp macro="" textlink="">
          <xdr:nvSpPr>
            <xdr:cNvPr id="1334" name="Button 310" descr="OK&#10;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2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195</xdr:row>
          <xdr:rowOff>38100</xdr:rowOff>
        </xdr:from>
        <xdr:to>
          <xdr:col>15</xdr:col>
          <xdr:colOff>565150</xdr:colOff>
          <xdr:row>195</xdr:row>
          <xdr:rowOff>203200</xdr:rowOff>
        </xdr:to>
        <xdr:sp macro="" textlink="">
          <xdr:nvSpPr>
            <xdr:cNvPr id="1335" name="Button 311" descr="OK&#10;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2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196</xdr:row>
          <xdr:rowOff>38100</xdr:rowOff>
        </xdr:from>
        <xdr:to>
          <xdr:col>15</xdr:col>
          <xdr:colOff>565150</xdr:colOff>
          <xdr:row>196</xdr:row>
          <xdr:rowOff>203200</xdr:rowOff>
        </xdr:to>
        <xdr:sp macro="" textlink="">
          <xdr:nvSpPr>
            <xdr:cNvPr id="1336" name="Button 312" descr="OK&#10;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2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197</xdr:row>
          <xdr:rowOff>38100</xdr:rowOff>
        </xdr:from>
        <xdr:to>
          <xdr:col>15</xdr:col>
          <xdr:colOff>565150</xdr:colOff>
          <xdr:row>197</xdr:row>
          <xdr:rowOff>203200</xdr:rowOff>
        </xdr:to>
        <xdr:sp macro="" textlink="">
          <xdr:nvSpPr>
            <xdr:cNvPr id="1337" name="Button 313" descr="OK&#10;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2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198</xdr:row>
          <xdr:rowOff>38100</xdr:rowOff>
        </xdr:from>
        <xdr:to>
          <xdr:col>15</xdr:col>
          <xdr:colOff>565150</xdr:colOff>
          <xdr:row>198</xdr:row>
          <xdr:rowOff>203200</xdr:rowOff>
        </xdr:to>
        <xdr:sp macro="" textlink="">
          <xdr:nvSpPr>
            <xdr:cNvPr id="1338" name="Button 314" descr="OK&#10;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2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199</xdr:row>
          <xdr:rowOff>38100</xdr:rowOff>
        </xdr:from>
        <xdr:to>
          <xdr:col>15</xdr:col>
          <xdr:colOff>565150</xdr:colOff>
          <xdr:row>199</xdr:row>
          <xdr:rowOff>203200</xdr:rowOff>
        </xdr:to>
        <xdr:sp macro="" textlink="">
          <xdr:nvSpPr>
            <xdr:cNvPr id="1341" name="Button 317" descr="OK&#10;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2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200</xdr:row>
          <xdr:rowOff>38100</xdr:rowOff>
        </xdr:from>
        <xdr:to>
          <xdr:col>15</xdr:col>
          <xdr:colOff>565150</xdr:colOff>
          <xdr:row>200</xdr:row>
          <xdr:rowOff>203200</xdr:rowOff>
        </xdr:to>
        <xdr:sp macro="" textlink="">
          <xdr:nvSpPr>
            <xdr:cNvPr id="1343" name="Button 319" descr="OK&#10;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2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201</xdr:row>
          <xdr:rowOff>38100</xdr:rowOff>
        </xdr:from>
        <xdr:to>
          <xdr:col>15</xdr:col>
          <xdr:colOff>565150</xdr:colOff>
          <xdr:row>201</xdr:row>
          <xdr:rowOff>203200</xdr:rowOff>
        </xdr:to>
        <xdr:sp macro="" textlink="">
          <xdr:nvSpPr>
            <xdr:cNvPr id="1345" name="Button 321" descr="OK&#10;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2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202</xdr:row>
          <xdr:rowOff>38100</xdr:rowOff>
        </xdr:from>
        <xdr:to>
          <xdr:col>15</xdr:col>
          <xdr:colOff>565150</xdr:colOff>
          <xdr:row>202</xdr:row>
          <xdr:rowOff>203200</xdr:rowOff>
        </xdr:to>
        <xdr:sp macro="" textlink="">
          <xdr:nvSpPr>
            <xdr:cNvPr id="1346" name="Button 322" descr="OK&#10;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2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203</xdr:row>
          <xdr:rowOff>38100</xdr:rowOff>
        </xdr:from>
        <xdr:to>
          <xdr:col>15</xdr:col>
          <xdr:colOff>565150</xdr:colOff>
          <xdr:row>203</xdr:row>
          <xdr:rowOff>203200</xdr:rowOff>
        </xdr:to>
        <xdr:sp macro="" textlink="">
          <xdr:nvSpPr>
            <xdr:cNvPr id="1347" name="Button 323" descr="OK&#10;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2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204</xdr:row>
          <xdr:rowOff>38100</xdr:rowOff>
        </xdr:from>
        <xdr:to>
          <xdr:col>15</xdr:col>
          <xdr:colOff>565150</xdr:colOff>
          <xdr:row>204</xdr:row>
          <xdr:rowOff>203200</xdr:rowOff>
        </xdr:to>
        <xdr:sp macro="" textlink="">
          <xdr:nvSpPr>
            <xdr:cNvPr id="1349" name="Button 325" descr="OK&#10;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2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205</xdr:row>
          <xdr:rowOff>38100</xdr:rowOff>
        </xdr:from>
        <xdr:to>
          <xdr:col>15</xdr:col>
          <xdr:colOff>565150</xdr:colOff>
          <xdr:row>205</xdr:row>
          <xdr:rowOff>203200</xdr:rowOff>
        </xdr:to>
        <xdr:sp macro="" textlink="">
          <xdr:nvSpPr>
            <xdr:cNvPr id="1353" name="Button 329" descr="OK&#10;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2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206</xdr:row>
          <xdr:rowOff>38100</xdr:rowOff>
        </xdr:from>
        <xdr:to>
          <xdr:col>15</xdr:col>
          <xdr:colOff>565150</xdr:colOff>
          <xdr:row>206</xdr:row>
          <xdr:rowOff>203200</xdr:rowOff>
        </xdr:to>
        <xdr:sp macro="" textlink="">
          <xdr:nvSpPr>
            <xdr:cNvPr id="1355" name="Button 331" descr="OK&#10;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2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207</xdr:row>
          <xdr:rowOff>38100</xdr:rowOff>
        </xdr:from>
        <xdr:to>
          <xdr:col>15</xdr:col>
          <xdr:colOff>565150</xdr:colOff>
          <xdr:row>207</xdr:row>
          <xdr:rowOff>203200</xdr:rowOff>
        </xdr:to>
        <xdr:sp macro="" textlink="">
          <xdr:nvSpPr>
            <xdr:cNvPr id="1357" name="Button 333" descr="OK&#10;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2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208</xdr:row>
          <xdr:rowOff>38100</xdr:rowOff>
        </xdr:from>
        <xdr:to>
          <xdr:col>15</xdr:col>
          <xdr:colOff>565150</xdr:colOff>
          <xdr:row>208</xdr:row>
          <xdr:rowOff>203200</xdr:rowOff>
        </xdr:to>
        <xdr:sp macro="" textlink="">
          <xdr:nvSpPr>
            <xdr:cNvPr id="1358" name="Button 334" descr="OK&#10;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2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209</xdr:row>
          <xdr:rowOff>38100</xdr:rowOff>
        </xdr:from>
        <xdr:to>
          <xdr:col>15</xdr:col>
          <xdr:colOff>565150</xdr:colOff>
          <xdr:row>209</xdr:row>
          <xdr:rowOff>203200</xdr:rowOff>
        </xdr:to>
        <xdr:sp macro="" textlink="">
          <xdr:nvSpPr>
            <xdr:cNvPr id="1359" name="Button 335" descr="OK&#10;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2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210</xdr:row>
          <xdr:rowOff>38100</xdr:rowOff>
        </xdr:from>
        <xdr:to>
          <xdr:col>15</xdr:col>
          <xdr:colOff>565150</xdr:colOff>
          <xdr:row>210</xdr:row>
          <xdr:rowOff>203200</xdr:rowOff>
        </xdr:to>
        <xdr:sp macro="" textlink="">
          <xdr:nvSpPr>
            <xdr:cNvPr id="1360" name="Button 336" descr="OK&#10;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2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211</xdr:row>
          <xdr:rowOff>38100</xdr:rowOff>
        </xdr:from>
        <xdr:to>
          <xdr:col>15</xdr:col>
          <xdr:colOff>565150</xdr:colOff>
          <xdr:row>211</xdr:row>
          <xdr:rowOff>203200</xdr:rowOff>
        </xdr:to>
        <xdr:sp macro="" textlink="">
          <xdr:nvSpPr>
            <xdr:cNvPr id="1361" name="Button 337" descr="OK&#10;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2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212</xdr:row>
          <xdr:rowOff>38100</xdr:rowOff>
        </xdr:from>
        <xdr:to>
          <xdr:col>15</xdr:col>
          <xdr:colOff>565150</xdr:colOff>
          <xdr:row>212</xdr:row>
          <xdr:rowOff>203200</xdr:rowOff>
        </xdr:to>
        <xdr:sp macro="" textlink="">
          <xdr:nvSpPr>
            <xdr:cNvPr id="1362" name="Button 338" descr="OK&#10;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2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213</xdr:row>
          <xdr:rowOff>38100</xdr:rowOff>
        </xdr:from>
        <xdr:to>
          <xdr:col>15</xdr:col>
          <xdr:colOff>565150</xdr:colOff>
          <xdr:row>213</xdr:row>
          <xdr:rowOff>203200</xdr:rowOff>
        </xdr:to>
        <xdr:sp macro="" textlink="">
          <xdr:nvSpPr>
            <xdr:cNvPr id="1364" name="Button 340" descr="OK&#10;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2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214</xdr:row>
          <xdr:rowOff>38100</xdr:rowOff>
        </xdr:from>
        <xdr:to>
          <xdr:col>15</xdr:col>
          <xdr:colOff>565150</xdr:colOff>
          <xdr:row>214</xdr:row>
          <xdr:rowOff>203200</xdr:rowOff>
        </xdr:to>
        <xdr:sp macro="" textlink="">
          <xdr:nvSpPr>
            <xdr:cNvPr id="1365" name="Button 341" descr="OK&#10;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2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215</xdr:row>
          <xdr:rowOff>38100</xdr:rowOff>
        </xdr:from>
        <xdr:to>
          <xdr:col>15</xdr:col>
          <xdr:colOff>565150</xdr:colOff>
          <xdr:row>215</xdr:row>
          <xdr:rowOff>203200</xdr:rowOff>
        </xdr:to>
        <xdr:sp macro="" textlink="">
          <xdr:nvSpPr>
            <xdr:cNvPr id="1368" name="Button 344" descr="OK&#10;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2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216</xdr:row>
          <xdr:rowOff>38100</xdr:rowOff>
        </xdr:from>
        <xdr:to>
          <xdr:col>15</xdr:col>
          <xdr:colOff>565150</xdr:colOff>
          <xdr:row>216</xdr:row>
          <xdr:rowOff>203200</xdr:rowOff>
        </xdr:to>
        <xdr:sp macro="" textlink="">
          <xdr:nvSpPr>
            <xdr:cNvPr id="1370" name="Button 346" descr="OK&#10;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2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217</xdr:row>
          <xdr:rowOff>38100</xdr:rowOff>
        </xdr:from>
        <xdr:to>
          <xdr:col>15</xdr:col>
          <xdr:colOff>565150</xdr:colOff>
          <xdr:row>217</xdr:row>
          <xdr:rowOff>203200</xdr:rowOff>
        </xdr:to>
        <xdr:sp macro="" textlink="">
          <xdr:nvSpPr>
            <xdr:cNvPr id="1374" name="Button 350" descr="OK&#10;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2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218</xdr:row>
          <xdr:rowOff>38100</xdr:rowOff>
        </xdr:from>
        <xdr:to>
          <xdr:col>15</xdr:col>
          <xdr:colOff>565150</xdr:colOff>
          <xdr:row>218</xdr:row>
          <xdr:rowOff>203200</xdr:rowOff>
        </xdr:to>
        <xdr:sp macro="" textlink="">
          <xdr:nvSpPr>
            <xdr:cNvPr id="1375" name="Button 351" descr="OK&#10;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2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219</xdr:row>
          <xdr:rowOff>38100</xdr:rowOff>
        </xdr:from>
        <xdr:to>
          <xdr:col>15</xdr:col>
          <xdr:colOff>565150</xdr:colOff>
          <xdr:row>219</xdr:row>
          <xdr:rowOff>203200</xdr:rowOff>
        </xdr:to>
        <xdr:sp macro="" textlink="">
          <xdr:nvSpPr>
            <xdr:cNvPr id="1376" name="Button 352" descr="OK&#10;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2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220</xdr:row>
          <xdr:rowOff>38100</xdr:rowOff>
        </xdr:from>
        <xdr:to>
          <xdr:col>15</xdr:col>
          <xdr:colOff>565150</xdr:colOff>
          <xdr:row>220</xdr:row>
          <xdr:rowOff>203200</xdr:rowOff>
        </xdr:to>
        <xdr:sp macro="" textlink="">
          <xdr:nvSpPr>
            <xdr:cNvPr id="1377" name="Button 353" descr="OK&#10;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2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221</xdr:row>
          <xdr:rowOff>38100</xdr:rowOff>
        </xdr:from>
        <xdr:to>
          <xdr:col>15</xdr:col>
          <xdr:colOff>565150</xdr:colOff>
          <xdr:row>221</xdr:row>
          <xdr:rowOff>203200</xdr:rowOff>
        </xdr:to>
        <xdr:sp macro="" textlink="">
          <xdr:nvSpPr>
            <xdr:cNvPr id="1379" name="Button 355" descr="OK&#10;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2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222</xdr:row>
          <xdr:rowOff>38100</xdr:rowOff>
        </xdr:from>
        <xdr:to>
          <xdr:col>15</xdr:col>
          <xdr:colOff>565150</xdr:colOff>
          <xdr:row>222</xdr:row>
          <xdr:rowOff>203200</xdr:rowOff>
        </xdr:to>
        <xdr:sp macro="" textlink="">
          <xdr:nvSpPr>
            <xdr:cNvPr id="1381" name="Button 357" descr="OK&#10;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2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223</xdr:row>
          <xdr:rowOff>38100</xdr:rowOff>
        </xdr:from>
        <xdr:to>
          <xdr:col>15</xdr:col>
          <xdr:colOff>565150</xdr:colOff>
          <xdr:row>223</xdr:row>
          <xdr:rowOff>203200</xdr:rowOff>
        </xdr:to>
        <xdr:sp macro="" textlink="">
          <xdr:nvSpPr>
            <xdr:cNvPr id="1383" name="Button 359" descr="OK&#10;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2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224</xdr:row>
          <xdr:rowOff>38100</xdr:rowOff>
        </xdr:from>
        <xdr:to>
          <xdr:col>15</xdr:col>
          <xdr:colOff>565150</xdr:colOff>
          <xdr:row>224</xdr:row>
          <xdr:rowOff>203200</xdr:rowOff>
        </xdr:to>
        <xdr:sp macro="" textlink="">
          <xdr:nvSpPr>
            <xdr:cNvPr id="1384" name="Button 360" descr="OK&#10;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2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225</xdr:row>
          <xdr:rowOff>38100</xdr:rowOff>
        </xdr:from>
        <xdr:to>
          <xdr:col>15</xdr:col>
          <xdr:colOff>565150</xdr:colOff>
          <xdr:row>225</xdr:row>
          <xdr:rowOff>203200</xdr:rowOff>
        </xdr:to>
        <xdr:sp macro="" textlink="">
          <xdr:nvSpPr>
            <xdr:cNvPr id="1385" name="Button 361" descr="OK&#10;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2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226</xdr:row>
          <xdr:rowOff>38100</xdr:rowOff>
        </xdr:from>
        <xdr:to>
          <xdr:col>15</xdr:col>
          <xdr:colOff>565150</xdr:colOff>
          <xdr:row>226</xdr:row>
          <xdr:rowOff>203200</xdr:rowOff>
        </xdr:to>
        <xdr:sp macro="" textlink="">
          <xdr:nvSpPr>
            <xdr:cNvPr id="1386" name="Button 362" descr="OK&#10;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2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227</xdr:row>
          <xdr:rowOff>38100</xdr:rowOff>
        </xdr:from>
        <xdr:to>
          <xdr:col>15</xdr:col>
          <xdr:colOff>565150</xdr:colOff>
          <xdr:row>227</xdr:row>
          <xdr:rowOff>203200</xdr:rowOff>
        </xdr:to>
        <xdr:sp macro="" textlink="">
          <xdr:nvSpPr>
            <xdr:cNvPr id="1389" name="Button 365" descr="OK&#10;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2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228</xdr:row>
          <xdr:rowOff>38100</xdr:rowOff>
        </xdr:from>
        <xdr:to>
          <xdr:col>15</xdr:col>
          <xdr:colOff>565150</xdr:colOff>
          <xdr:row>228</xdr:row>
          <xdr:rowOff>203200</xdr:rowOff>
        </xdr:to>
        <xdr:sp macro="" textlink="">
          <xdr:nvSpPr>
            <xdr:cNvPr id="1391" name="Button 367" descr="OK&#10;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2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229</xdr:row>
          <xdr:rowOff>38100</xdr:rowOff>
        </xdr:from>
        <xdr:to>
          <xdr:col>15</xdr:col>
          <xdr:colOff>565150</xdr:colOff>
          <xdr:row>229</xdr:row>
          <xdr:rowOff>203200</xdr:rowOff>
        </xdr:to>
        <xdr:sp macro="" textlink="">
          <xdr:nvSpPr>
            <xdr:cNvPr id="1393" name="Button 369" descr="OK&#10;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2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230</xdr:row>
          <xdr:rowOff>38100</xdr:rowOff>
        </xdr:from>
        <xdr:to>
          <xdr:col>15</xdr:col>
          <xdr:colOff>565150</xdr:colOff>
          <xdr:row>230</xdr:row>
          <xdr:rowOff>203200</xdr:rowOff>
        </xdr:to>
        <xdr:sp macro="" textlink="">
          <xdr:nvSpPr>
            <xdr:cNvPr id="1396" name="Button 372" descr="OK&#10;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2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231</xdr:row>
          <xdr:rowOff>38100</xdr:rowOff>
        </xdr:from>
        <xdr:to>
          <xdr:col>15</xdr:col>
          <xdr:colOff>565150</xdr:colOff>
          <xdr:row>231</xdr:row>
          <xdr:rowOff>203200</xdr:rowOff>
        </xdr:to>
        <xdr:sp macro="" textlink="">
          <xdr:nvSpPr>
            <xdr:cNvPr id="1398" name="Button 374" descr="OK&#10;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29CD4D18-FF3F-3C90-031D-EB802D074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4232670</xdr:colOff>
      <xdr:row>7</xdr:row>
      <xdr:rowOff>152002</xdr:rowOff>
    </xdr:from>
    <xdr:to>
      <xdr:col>11</xdr:col>
      <xdr:colOff>738187</xdr:colOff>
      <xdr:row>22</xdr:row>
      <xdr:rowOff>145256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121840</xdr:colOff>
      <xdr:row>6</xdr:row>
      <xdr:rowOff>12302</xdr:rowOff>
    </xdr:from>
    <xdr:to>
      <xdr:col>12</xdr:col>
      <xdr:colOff>961231</xdr:colOff>
      <xdr:row>20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D1A960F-2074-43B2-AD52-A57BA9981F88}">
  <dimension ref="A1"/>
  <sheetViews>
    <sheetView showFormulas="1" workbookViewId="0"/>
  </sheetViews>
  <sheetFormatPr defaultRowHeight="14.5"/>
  <sheetData/>
  <phoneticPr fontId="10" type="noConversion"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D2429436-D9D7-40AB-B1F8-5292256DAC61}">
  <dimension ref="A1"/>
  <sheetViews>
    <sheetView showFormulas="1" workbookViewId="0">
      <selection activeCell="C23" sqref="C23"/>
    </sheetView>
  </sheetViews>
  <sheetFormatPr defaultRowHeight="14.5"/>
  <sheetData/>
  <phoneticPr fontId="10" type="noConversion"/>
  <pageMargins left="0.7" right="0.7" top="0.75" bottom="0.75" header="0.3" footer="0.3"/>
</xm:macrosheet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LJA%20Job%20Register%20Rev2.xlsm#BgEIDA4ADAMGBAcBBAQECw=66.0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ijun Wang" refreshedDate="45747.377071759256" createdVersion="8" refreshedVersion="8" minRefreshableVersion="3" recordCount="227" xr:uid="{CBFC386E-A676-48E4-9CE0-7A5EE713F5BB}">
  <cacheSource type="worksheet">
    <worksheetSource ref="A3:O230" sheet="Job Data" r:id="rId2"/>
  </cacheSource>
  <cacheFields count="15">
    <cacheField name="Job ID" numFmtId="0">
      <sharedItems count="191">
        <s v="AT0001"/>
        <s v="AC0001"/>
        <s v="AC0002"/>
        <s v="AC0003"/>
        <s v="AQ0001"/>
        <s v="AT0002"/>
        <s v="AQ0002"/>
        <s v="AQ0003"/>
        <s v="AQ0004"/>
        <s v="AQ0005"/>
        <s v="AQ0006"/>
        <s v="AQ0007"/>
        <s v="AQ0008"/>
        <s v="AQ0009"/>
        <s v="AQ0010"/>
        <s v="AQ0011"/>
        <s v="AC0004"/>
        <s v="AC0005"/>
        <s v="AC0006"/>
        <s v="AT0003"/>
        <s v="AT0004"/>
        <s v="AT0005"/>
        <s v="AQ0012"/>
        <s v="AQ0013"/>
        <s v="AT0006"/>
        <s v="AC0007"/>
        <s v="AC0008"/>
        <s v="AT0007"/>
        <s v="AT0008"/>
        <s v="AP0001"/>
        <s v="AT0009"/>
        <s v="AT0010"/>
        <s v="AQ0014"/>
        <s v="AS0001"/>
        <s v="AT0011"/>
        <s v="AT0012"/>
        <s v="AQ0015"/>
        <s v="AQ0016"/>
        <s v="AT0013"/>
        <s v="AC0009"/>
        <s v="AC0010"/>
        <s v="AQ0017"/>
        <s v="AQ0018"/>
        <s v="AC0011"/>
        <s v="AS0002"/>
        <s v="AT0014"/>
        <s v="AQ0019"/>
        <s v="AC0012"/>
        <s v="AT0015"/>
        <s v="AQ0020"/>
        <s v="AQ0021"/>
        <s v="AQ0022"/>
        <s v="AQ0023"/>
        <s v="AS0003"/>
        <s v="AT0016"/>
        <s v="AC0013"/>
        <s v="AS0004"/>
        <s v="AT0017"/>
        <s v="AS0005"/>
        <s v="AQ0024"/>
        <s v="AT0018"/>
        <s v="AQ0025"/>
        <s v="AQ0026"/>
        <s v="AQ0027"/>
        <s v="AS0006"/>
        <s v="AS0007"/>
        <s v="AS0008"/>
        <s v="AT0019"/>
        <s v="AT0020"/>
        <s v="AT0021"/>
        <s v="AT0022"/>
        <s v="AQ0028"/>
        <s v="AT0023"/>
        <s v="AT0024"/>
        <s v="AC0014"/>
        <s v="AQ0029"/>
        <s v="AQ0030"/>
        <s v="AQ0031"/>
        <s v="AQ0032"/>
        <s v="AP0002"/>
        <s v="AQ0033"/>
        <s v="AT0025"/>
        <s v="AT0026"/>
        <s v="AQ0034"/>
        <s v="AT0027"/>
        <s v="AQ0035"/>
        <s v="AC0015"/>
        <s v="AC0016"/>
        <s v="AQ0036"/>
        <s v="AT0028"/>
        <s v="AT0029"/>
        <s v="AC0017"/>
        <s v="AQ0037"/>
        <s v="AQ0038"/>
        <s v="AQ0039"/>
        <s v="AQ0040"/>
        <s v="AQ0041"/>
        <s v="AS0009"/>
        <s v="AQ0042"/>
        <s v="AC0018"/>
        <s v="AT0030"/>
        <s v="AQ0043"/>
        <s v="AQ0044"/>
        <s v="AQ0045"/>
        <s v="AP0003"/>
        <s v="AT0031"/>
        <s v="AQ0046"/>
        <s v="AC0019"/>
        <s v="AQ0047"/>
        <s v="AQ0048"/>
        <s v="AT0032"/>
        <s v="AQ0049"/>
        <s v="AQ0050"/>
        <s v="AT0033"/>
        <s v="AC0020"/>
        <s v="AQ0051"/>
        <s v="AT0034"/>
        <s v="AT0035"/>
        <s v="AT0036"/>
        <s v="AT0037"/>
        <s v="AT0038"/>
        <s v="AT0039"/>
        <s v="AQ0052"/>
        <s v="AT0040"/>
        <s v="AS0010"/>
        <s v="AQ0053"/>
        <s v="AT0041"/>
        <s v="AC0021"/>
        <s v="AQ0054"/>
        <s v="AQ0055"/>
        <s v="AQ0056"/>
        <s v="AT0042"/>
        <s v="AT0043"/>
        <s v="AQ0057"/>
        <s v="AT0044"/>
        <s v="AQ0058"/>
        <s v="AT0045"/>
        <s v="AC0022"/>
        <s v="AQ0059"/>
        <s v="AQ0060"/>
        <s v="AT0046"/>
        <s v="AT0047"/>
        <s v="AQ0061"/>
        <s v="AQ0062"/>
        <s v="AS0011"/>
        <s v="AQ0063"/>
        <s v="AQ0064"/>
        <s v="AQ0065"/>
        <s v="AC0023"/>
        <s v="AQ0066"/>
        <s v="AQ0067"/>
        <s v="AQ0068"/>
        <s v="AQ0069"/>
        <s v="AC0024"/>
        <s v="AQ0070"/>
        <s v="AQ0071"/>
        <s v="AQ0072"/>
        <s v="AQ0073"/>
        <s v="AQ0074"/>
        <s v="AC0025"/>
        <s v="AC0026"/>
        <s v="AT0048"/>
        <s v="AQ0075"/>
        <s v="AQ0076"/>
        <s v="AT0049"/>
        <s v="AT0050"/>
        <s v="AT0051"/>
        <s v="AT0052"/>
        <s v="AS0012"/>
        <s v="AT0053"/>
        <s v="AQ0077"/>
        <s v="AQ0078"/>
        <s v="AT0054"/>
        <s v="AQ0079"/>
        <s v="AQ0080"/>
        <s v="AT0055"/>
        <s v="AT0056"/>
        <s v="AT0057"/>
        <s v="AQ0081"/>
        <s v="AQ0082"/>
        <s v="AQ0083"/>
        <s v="AQ0084"/>
        <s v="AT0058"/>
        <s v="AQ0085"/>
        <s v="AQ0086"/>
        <s v="AQ0087"/>
        <s v="AQ0088"/>
        <s v="AP0004"/>
        <s v="AS0013"/>
        <s v="AQ0089"/>
        <s v=""/>
      </sharedItems>
    </cacheField>
    <cacheField name="Client" numFmtId="0">
      <sharedItems containsBlank="1" count="67">
        <s v="HanRoy"/>
        <s v="SIMEC"/>
        <s v="Grange"/>
        <s v="PeakRE"/>
        <s v="Globel_Lithium"/>
        <s v="KUREEM"/>
        <s v="FMG"/>
        <s v="MRL"/>
        <s v="Talison"/>
        <s v="AVL"/>
        <s v="Young_Steel"/>
        <s v="Ladestone"/>
        <s v="Leo_Lithium"/>
        <s v="Athenas_Reource"/>
        <s v="Peak_Iron"/>
        <s v="TBA"/>
        <s v="Riotinto"/>
        <s v="TMT"/>
        <s v="Covalent_Lithium"/>
        <s v="Lion_Town"/>
        <s v="Karara_Mining"/>
        <s v="Blackore"/>
        <s v="Lindian_Resources"/>
        <s v="Magnetite_Mines"/>
        <s v=" Savannah_Resources"/>
        <s v="ConsMin"/>
        <s v="_MWPA"/>
        <s v="BV"/>
        <s v="ALS"/>
        <s v="Nagrom"/>
        <s v="PEABODY_ENERGY"/>
        <s v="Lincoln_Minerals"/>
        <s v="MNREC"/>
        <s v="Trenel"/>
        <s v="PLS"/>
        <s v="Loesche"/>
        <s v="Empire_Metals "/>
        <s v="Norton"/>
        <s v="CXL"/>
        <s v="Cockatoo_Island_Mining"/>
        <s v="Karawara_Minerals"/>
        <s v="Roy_Hill"/>
        <s v="Mayur"/>
        <s v="Agile_Mining"/>
        <s v="LMA"/>
        <s v="Venus_Metals"/>
        <s v="Allup_Silica"/>
        <s v="Glencore"/>
        <s v="Silica_Resources_Australia"/>
        <s v="Bravus_Mining&amp;Resuroces"/>
        <s v="Huntore_Australia "/>
        <s v="Delta_Lithium"/>
        <s v="Northern_Mineral"/>
        <s v="Aurora_Construction_Materials"/>
        <s v="Tungsten_Mining"/>
        <s v="Havilah_Resources"/>
        <s v="Dome_Gold"/>
        <s v="Iondrive"/>
        <s v="HASTING"/>
        <s v="Hawsons_Iron"/>
        <s v="Terra_mining"/>
        <s v="Group6Metals"/>
        <s v="Vytas"/>
        <s v="HY_Mineral"/>
        <s v="Capricorn_Metals"/>
        <s v="YINGHUI_INTERNATIONAL"/>
        <m/>
      </sharedItems>
    </cacheField>
    <cacheField name="Mine/Site" numFmtId="0">
      <sharedItems containsBlank="1" count="91">
        <s v="Mt Beavan"/>
        <s v="MEP 1"/>
        <s v="MEP 2"/>
        <s v="MEP 3"/>
        <s v="Savage River"/>
        <s v="Ngualla"/>
        <s v="Manna Lithium"/>
        <s v="KUREEM"/>
        <s v="Iron Bridge"/>
        <s v="Wodgina"/>
        <s v="Greenbush"/>
        <s v="Ridley"/>
        <s v="The Australian Vanadium Project"/>
        <s v="Snaefell"/>
        <s v="Southdown"/>
        <s v="Baremar"/>
        <s v="GOULAMINA"/>
        <s v="Byro"/>
        <s v="Cloudbreak"/>
        <s v="Christmas Creek "/>
        <s v="Solomon"/>
        <s v="Hawks Nest Magnetite"/>
        <s v="TBA 1"/>
        <s v="Mt Marion"/>
        <s v="Gudai-Darri 3"/>
        <s v="Tom Price"/>
        <s v="Murchison"/>
        <s v="Mount Holland"/>
        <s v="Kathleen Valley"/>
        <s v="Buldania"/>
        <s v="Karara"/>
        <s v="Extension Hill"/>
        <s v="Kangankunde"/>
        <s v="The Razorback "/>
        <s v="Barroso Lithium Project(Portugal)"/>
        <s v="Woodie Woodie"/>
        <s v="Liberia Bang"/>
        <s v="Mid West Port Authority"/>
        <s v="BV Perth"/>
        <s v="ALS Balcata"/>
        <s v="Nagrom"/>
        <s v="Green Steel"/>
        <s v="WINBO"/>
        <s v="Green Iron Magnetite"/>
        <s v="Khalzan_Buregtei"/>
        <s v="Trenel"/>
        <s v="HVO "/>
        <s v="Pilgangoora"/>
        <s v="Loesche"/>
        <s v="Pitfield"/>
        <s v="Paddington"/>
        <s v="Greensteel"/>
        <s v="Hematite"/>
        <s v="Cockatoo_Island"/>
        <s v="Newman"/>
        <s v="Broula_Magnetite"/>
        <s v="Roy_Hill"/>
        <s v="Waste Dam"/>
        <s v="Commmonwelth_Hill"/>
        <s v="Belinga"/>
        <s v="Orokolo_Bay"/>
        <s v="Kings"/>
        <s v="Unknown"/>
        <s v="Commonwelth_Hill"/>
        <s v="Warehouse"/>
        <s v="Mauritania"/>
        <s v="Younami_Gabbro_Project"/>
        <s v="McLaren_Project"/>
        <s v="TBA"/>
        <s v="Ravensworth_Coal "/>
        <s v="Mourilya_ Silica_Sands_Project"/>
        <s v="Carmichael"/>
        <s v="Mt_Veteran "/>
        <s v="Yinnetharra"/>
        <s v="Browns_Range"/>
        <s v="Quarry"/>
        <s v="Mt_Mulgine"/>
        <s v="GRANTS_GRANTS_BASIN"/>
        <s v="Sigatoka_Ironsands_Project"/>
        <s v="Pretreatment Facility"/>
        <s v="Yangibana"/>
        <s v="Hawsons Iron Project"/>
        <s v="Eliwana"/>
        <s v="Dolphin Tungsten Mine"/>
        <s v="Ultra High Grade Quartz"/>
        <s v="Dragon"/>
        <s v="Binduli"/>
        <s v="Momo"/>
        <s v="Karlawinda Expansion"/>
        <s v="Recycling  belt magnet"/>
        <m/>
      </sharedItems>
    </cacheField>
    <cacheField name="Project" numFmtId="0">
      <sharedItems containsBlank="1"/>
    </cacheField>
    <cacheField name="Job type" numFmtId="0">
      <sharedItems containsBlank="1" count="6">
        <s v="Testwork"/>
        <s v="Consultation"/>
        <s v="Quotation"/>
        <s v="Parts"/>
        <s v="Service"/>
        <m/>
      </sharedItems>
    </cacheField>
    <cacheField name="Mineral" numFmtId="0">
      <sharedItems containsBlank="1"/>
    </cacheField>
    <cacheField name="Contact Company(if not the Client)" numFmtId="0">
      <sharedItems containsBlank="1"/>
    </cacheField>
    <cacheField name="Project Manager" numFmtId="0">
      <sharedItems containsBlank="1" count="7">
        <s v="Hill Wang"/>
        <s v="Adela Liang"/>
        <s v="Wubiao Weng"/>
        <s v="Weijun Wang"/>
        <s v="TBC"/>
        <m/>
        <s v="Terrance Zhao"/>
      </sharedItems>
    </cacheField>
    <cacheField name="Quotation/Record Number(HQ)" numFmtId="0">
      <sharedItems containsBlank="1"/>
    </cacheField>
    <cacheField name="Request Date" numFmtId="0">
      <sharedItems containsDate="1" containsBlank="1" containsMixedTypes="1" minDate="1900-01-05T14:40:04" maxDate="1900-01-01T15:51:04"/>
    </cacheField>
    <cacheField name="Quotation Provided Date" numFmtId="0">
      <sharedItems containsDate="1" containsBlank="1" containsMixedTypes="1" minDate="2023-09-04T00:00:00" maxDate="1900-01-01T15:51:04"/>
    </cacheField>
    <cacheField name="Feedback From Client " numFmtId="0">
      <sharedItems containsBlank="1"/>
    </cacheField>
    <cacheField name="Comment" numFmtId="0">
      <sharedItems containsBlank="1"/>
    </cacheField>
    <cacheField name="Name" numFmtId="0">
      <sharedItems containsBlank="1"/>
    </cacheField>
    <cacheField name="Link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">
  <r>
    <x v="0"/>
    <x v="0"/>
    <x v="0"/>
    <s v="Magnetic Separation Trial"/>
    <x v="0"/>
    <s v="Magnetite"/>
    <m/>
    <x v="0"/>
    <m/>
    <m/>
    <m/>
    <m/>
    <m/>
    <s v="AT0001 Magnetic Separation Trial"/>
    <s v="C:\Users\wubia\OneDrive - Longi Magnet Australia Pty ltd\Documents - Longi Australia\03 Project Management\Client\HanRoy\Mt Beavan\AT0001 Magnetic Separation Trial"/>
  </r>
  <r>
    <x v="1"/>
    <x v="1"/>
    <x v="1"/>
    <s v="General Inquiry"/>
    <x v="1"/>
    <s v="Magnetite"/>
    <m/>
    <x v="1"/>
    <m/>
    <s v="2019.09.01"/>
    <m/>
    <s v="DFS"/>
    <s v="Waiting for tender/quotation"/>
    <s v="AC0001 General Inquiry"/>
    <s v="C:\Users\wubia\OneDrive - Longi Magnet Australia Pty ltd\Documents - Longi Australia\03 Project Management\Client\SIMEC\MEP 1\AC0001 General Inquiry"/>
  </r>
  <r>
    <x v="2"/>
    <x v="1"/>
    <x v="2"/>
    <s v="General Inquiry"/>
    <x v="1"/>
    <s v="Magnetite"/>
    <m/>
    <x v="1"/>
    <m/>
    <s v="2022.11.20"/>
    <s v="2022.12.27"/>
    <s v="DFS"/>
    <s v="Waiting for tender/quotation"/>
    <s v="AC0002 General Inquiry"/>
    <s v="C:\Users\wubia\OneDrive - Longi Magnet Australia Pty ltd\Documents - Longi Australia\03 Project Management\Client\SIMEC\MEP 2\AC0002 General Inquiry"/>
  </r>
  <r>
    <x v="3"/>
    <x v="1"/>
    <x v="3"/>
    <s v="General Inquiry"/>
    <x v="1"/>
    <s v="Magnetite"/>
    <m/>
    <x v="1"/>
    <m/>
    <m/>
    <m/>
    <s v="DFS"/>
    <m/>
    <s v="AC0003 General Inquiry"/>
    <s v="C:\Users\wubia\OneDrive - Longi Magnet Australia Pty ltd\Documents - Longi Australia\03 Project Management\Client\SIMEC\MEP 3\AC0003 General Inquiry"/>
  </r>
  <r>
    <x v="4"/>
    <x v="2"/>
    <x v="4"/>
    <s v="LJC testline"/>
    <x v="2"/>
    <s v="Magnetite"/>
    <s v="Hatch"/>
    <x v="1"/>
    <m/>
    <n v="2022"/>
    <m/>
    <m/>
    <m/>
    <s v="AQ0001 LJC testline"/>
    <s v="C:\Users\wubia\OneDrive - Longi Magnet Australia Pty ltd\Documents - Longi Australia\03 Project Management\Client\Grange\Savage River\AQ0001 LJC testline"/>
  </r>
  <r>
    <x v="5"/>
    <x v="3"/>
    <x v="5"/>
    <s v="WHIMS Testwork"/>
    <x v="0"/>
    <s v="Rare Earth"/>
    <s v="Wood PLC"/>
    <x v="1"/>
    <m/>
    <n v="2022"/>
    <m/>
    <s v="DFS"/>
    <m/>
    <s v="AT0002 WHIMS Testwork"/>
    <s v="C:\Users\wubia\OneDrive - Longi Magnet Australia Pty ltd\Documents - Longi Australia\03 Project Management\Client\PeakRE\Ngualla\AT0002 WHIMS Testwork"/>
  </r>
  <r>
    <x v="6"/>
    <x v="4"/>
    <x v="6"/>
    <s v="Manna lithium DFS"/>
    <x v="2"/>
    <s v="Lithium"/>
    <s v="Wave "/>
    <x v="0"/>
    <m/>
    <m/>
    <d v="2023-10-16T00:00:00"/>
    <m/>
    <m/>
    <s v="AQ0002 Manna lithium DFS"/>
    <s v="C:\Users\wubia\OneDrive - Longi Magnet Australia Pty ltd\Documents - Longi Australia\03 Project Management\Client\Globel_Lithium\Manna Lithium\AQ0002 Manna lithium DFS"/>
  </r>
  <r>
    <x v="7"/>
    <x v="5"/>
    <x v="7"/>
    <s v="KUREEM Project Pilot Plant"/>
    <x v="2"/>
    <s v="Rare Earth"/>
    <s v="BV"/>
    <x v="1"/>
    <m/>
    <m/>
    <d v="2023-09-04T00:00:00"/>
    <m/>
    <m/>
    <s v="AQ0003 KUREEM Project Pilot Plant"/>
    <s v="C:\Users\wubia\OneDrive - Longi Magnet Australia Pty ltd\Documents - Longi Australia\03 Project Management\Client\KUREEM\KUREEM\AQ0003 KUREEM Project Pilot Plant"/>
  </r>
  <r>
    <x v="8"/>
    <x v="5"/>
    <x v="7"/>
    <s v="KUREEM Project FS"/>
    <x v="2"/>
    <s v="Rare Earth"/>
    <s v="Worly"/>
    <x v="1"/>
    <m/>
    <m/>
    <d v="2023-09-23T00:00:00"/>
    <s v="DFS"/>
    <m/>
    <s v="AQ0004 KUREEM Project FS"/>
    <s v="C:\Users\wubia\OneDrive - Longi Magnet Australia Pty ltd\Documents - Longi Australia\03 Project Management\Client\KUREEM\KUREEM\AQ0004 KUREEM Project FS"/>
  </r>
  <r>
    <x v="9"/>
    <x v="6"/>
    <x v="8"/>
    <s v="IB Spray bar"/>
    <x v="2"/>
    <s v="Magnetite"/>
    <m/>
    <x v="1"/>
    <m/>
    <m/>
    <d v="2023-10-09T00:00:00"/>
    <m/>
    <s v="Free Trial to be issued"/>
    <s v="AQ0005 IB Spray bar"/>
    <s v="C:\Users\wubia\OneDrive - Longi Magnet Australia Pty ltd\Documents - Longi Australia\03 Project Management\Client\FMG\Iron Bridge\AQ0005 IB Spray bar"/>
  </r>
  <r>
    <x v="10"/>
    <x v="7"/>
    <x v="9"/>
    <s v="Wodina Train 4"/>
    <x v="2"/>
    <s v="Lithium"/>
    <m/>
    <x v="0"/>
    <m/>
    <m/>
    <d v="2023-10-11T00:00:00"/>
    <m/>
    <m/>
    <s v="AQ0006 Wodina Train 4"/>
    <s v="C:\Users\wubia\OneDrive - Longi Magnet Australia Pty ltd\Documents - Longi Australia\03 Project Management\Client\MRL\Wodgina\AQ0006 Wodina Train 4"/>
  </r>
  <r>
    <x v="11"/>
    <x v="8"/>
    <x v="10"/>
    <s v="Talison CPG4"/>
    <x v="2"/>
    <s v="Lithium"/>
    <s v="Lycopodoium"/>
    <x v="0"/>
    <m/>
    <m/>
    <d v="2023-11-16T00:00:00"/>
    <m/>
    <m/>
    <s v="AQ0007 Talison CPG4"/>
    <s v="C:\Users\wubia\OneDrive - Longi Magnet Australia Pty ltd\Documents - Longi Australia\03 Project Management\Client\Talison\Greenbush\AQ0007 Talison CPG4"/>
  </r>
  <r>
    <x v="12"/>
    <x v="1"/>
    <x v="1"/>
    <s v="SIMEC Wet Plant"/>
    <x v="2"/>
    <s v="Magnetite"/>
    <s v="Mineral Technology"/>
    <x v="1"/>
    <m/>
    <s v="2023.11.09"/>
    <s v="2023.11.10"/>
    <s v="DFS"/>
    <m/>
    <s v="AQ0008 SIMEC Wet Plant"/>
    <s v="C:\Users\wubia\OneDrive - Longi Magnet Australia Pty ltd\Documents - Longi Australia\03 Project Management\Client\SIMEC\MEP 1\AQ0008 SIMEC Wet Plant"/>
  </r>
  <r>
    <x v="13"/>
    <x v="1"/>
    <x v="1"/>
    <s v="SIMEC Dry Plant"/>
    <x v="2"/>
    <s v="Magnetite"/>
    <s v="BGE"/>
    <x v="1"/>
    <m/>
    <s v="2023.10.25"/>
    <s v="2023.11.06"/>
    <s v="DFS"/>
    <m/>
    <s v="AQ0009 SIMEC Dry Plant"/>
    <s v="C:\Users\wubia\OneDrive - Longi Magnet Australia Pty ltd\Documents - Longi Australia\03 Project Management\Client\SIMEC\MEP 1\AQ0009 SIMEC Dry Plant"/>
  </r>
  <r>
    <x v="14"/>
    <x v="0"/>
    <x v="11"/>
    <s v="Ridley LIMS"/>
    <x v="2"/>
    <s v="Magnetite"/>
    <s v="SEDGMAN ONYX"/>
    <x v="0"/>
    <m/>
    <m/>
    <m/>
    <m/>
    <m/>
    <s v="AQ0010 Ridley LIMS"/>
    <s v="C:\Users\wubia\OneDrive - Longi Magnet Australia Pty ltd\Documents - Longi Australia\03 Project Management\Client\HanRoy\Ridley\AQ0010 Ridley LIMS"/>
  </r>
  <r>
    <x v="15"/>
    <x v="0"/>
    <x v="0"/>
    <s v="DMS"/>
    <x v="2"/>
    <s v="Magnetite"/>
    <m/>
    <x v="0"/>
    <m/>
    <m/>
    <m/>
    <m/>
    <m/>
    <s v="AQ0011 DMS"/>
    <s v="C:\Users\wubia\OneDrive - Longi Magnet Australia Pty ltd\Documents - Longi Australia\03 Project Management\Client\HanRoy\Mt Beavan\AQ0011 DMS"/>
  </r>
  <r>
    <x v="16"/>
    <x v="0"/>
    <x v="11"/>
    <s v="General Inquiry"/>
    <x v="1"/>
    <s v="Magnetite"/>
    <m/>
    <x v="0"/>
    <m/>
    <m/>
    <m/>
    <m/>
    <m/>
    <s v="AC0004 General Inquiry"/>
    <s v="C:\Users\wubia\OneDrive - Longi Magnet Australia Pty ltd\Documents - Longi Australia\03 Project Management\Client\HanRoy\Ridley\AC0004 General Inquiry"/>
  </r>
  <r>
    <x v="17"/>
    <x v="9"/>
    <x v="12"/>
    <s v="General Inquiry"/>
    <x v="1"/>
    <s v="Vanadium"/>
    <m/>
    <x v="0"/>
    <m/>
    <m/>
    <m/>
    <m/>
    <m/>
    <s v="AC0005 General Inquiry"/>
    <s v="C:\Users\wubia\OneDrive - Longi Magnet Australia Pty ltd\Documents - Longi Australia\03 Project Management\Client\AVL\The Australian Vanadium Project\AC0005 General Inquiry"/>
  </r>
  <r>
    <x v="18"/>
    <x v="10"/>
    <x v="13"/>
    <s v="General Inquiry"/>
    <x v="1"/>
    <s v="Magnetite"/>
    <m/>
    <x v="1"/>
    <m/>
    <s v="2023.07.30"/>
    <m/>
    <s v="DFS design "/>
    <m/>
    <s v="AC0006 General Inquiry"/>
    <s v="C:\Users\wubia\OneDrive - Longi Magnet Australia Pty ltd\Documents - Longi Australia\03 Project Management\Client\Young_Steel\Snaefell\AC0006 General Inquiry"/>
  </r>
  <r>
    <x v="19"/>
    <x v="4"/>
    <x v="6"/>
    <s v="General Inquiry"/>
    <x v="0"/>
    <s v="Lithium"/>
    <m/>
    <x v="0"/>
    <m/>
    <m/>
    <m/>
    <m/>
    <m/>
    <s v="AT0003 General Inquiry"/>
    <s v="C:\Users\wubia\OneDrive - Longi Magnet Australia Pty ltd\Documents - Longi Australia\03 Project Management\Client\Globel_Lithium\Manna Lithium\AT0003 General Inquiry"/>
  </r>
  <r>
    <x v="20"/>
    <x v="0"/>
    <x v="11"/>
    <s v="LIMS Scale-up Testwork"/>
    <x v="0"/>
    <s v="Magnetite"/>
    <m/>
    <x v="0"/>
    <m/>
    <m/>
    <m/>
    <m/>
    <s v="Waiting for the Samples"/>
    <s v="AT0004 LIMS Scale-up Testwork"/>
    <s v="C:\Users\wubia\OneDrive - Longi Magnet Australia Pty ltd\Documents - Longi Australia\03 Project Management\Client\HanRoy\Ridley\AT0004 LIMS Scale-up Testwork"/>
  </r>
  <r>
    <x v="21"/>
    <x v="0"/>
    <x v="11"/>
    <s v="LJC Fiber Removal Testwork"/>
    <x v="0"/>
    <s v="Magnetite"/>
    <m/>
    <x v="0"/>
    <m/>
    <m/>
    <m/>
    <m/>
    <m/>
    <s v="AT0005 LJC Fiber Removal Testwork"/>
    <s v="C:\Users\wubia\OneDrive - Longi Magnet Australia Pty ltd\Documents - Longi Australia\03 Project Management\Client\HanRoy\Ridley\AT0005 LJC Fiber Removal Testwork"/>
  </r>
  <r>
    <x v="22"/>
    <x v="6"/>
    <x v="8"/>
    <s v="dewater drum replacement"/>
    <x v="2"/>
    <s v="Magnetite"/>
    <m/>
    <x v="1"/>
    <m/>
    <m/>
    <m/>
    <m/>
    <m/>
    <s v="AQ0012 dewater drum replacement"/>
    <s v="C:\Users\wubia\OneDrive - Longi Magnet Australia Pty ltd\Documents - Longi Australia\03 Project Management\Client\FMG\Iron Bridge\AQ0012 dewater drum replacement"/>
  </r>
  <r>
    <x v="23"/>
    <x v="2"/>
    <x v="14"/>
    <s v="DRY+WET new plant"/>
    <x v="2"/>
    <s v="Magnetite"/>
    <s v="Hatch"/>
    <x v="1"/>
    <m/>
    <n v="2022"/>
    <m/>
    <s v="DFS"/>
    <s v="DFS, early stage"/>
    <s v="AQ0013 DRY+WET new plant"/>
    <s v="C:\Users\wubia\OneDrive - Longi Magnet Australia Pty ltd\Documents - Longi Australia\03 Project Management\Client\Grange\Southdown\AQ0013 DRY+WET new plant"/>
  </r>
  <r>
    <x v="24"/>
    <x v="11"/>
    <x v="15"/>
    <s v=" Developing Plant"/>
    <x v="0"/>
    <s v="Magnetite"/>
    <s v="Worly"/>
    <x v="1"/>
    <m/>
    <n v="2019"/>
    <m/>
    <s v="DFS"/>
    <m/>
    <s v="AT0006  Developing Plant"/>
    <s v="C:\Users\wubia\OneDrive - Longi Magnet Australia Pty ltd\Documents - Longi Australia\03 Project Management\Client\Ladestone\Baremar\AT0006  Developing Plant"/>
  </r>
  <r>
    <x v="25"/>
    <x v="12"/>
    <x v="16"/>
    <s v="GOULAMINA LITHIUM EXPANSION PROJECT"/>
    <x v="1"/>
    <s v="Lithium"/>
    <m/>
    <x v="0"/>
    <m/>
    <m/>
    <m/>
    <m/>
    <m/>
    <s v="AC0007 GOULAMINA LITHIUM EXPANSION PROJECT"/>
    <s v="C:\Users\wubia\OneDrive - Longi Magnet Australia Pty ltd\Documents - Longi Australia\03 Project Management\Client\Leo_Lithium\GOULAMINA\AC0007 GOULAMINA LITHIUM EXPANSION PROJECT"/>
  </r>
  <r>
    <x v="26"/>
    <x v="13"/>
    <x v="17"/>
    <s v="General Inquiry"/>
    <x v="1"/>
    <s v="Magnetite"/>
    <m/>
    <x v="1"/>
    <m/>
    <s v="2023.09.20"/>
    <m/>
    <s v="DFS design"/>
    <m/>
    <s v="AC0008 General Inquiry"/>
    <s v="C:\Users\wubia\OneDrive - Longi Magnet Australia Pty ltd\Documents - Longi Australia\03 Project Management\Client\Athenas_Reource\Byro\AC0008 General Inquiry"/>
  </r>
  <r>
    <x v="27"/>
    <x v="6"/>
    <x v="8"/>
    <s v="LJC Testwork"/>
    <x v="0"/>
    <s v="Magnetite"/>
    <s v="Hatch"/>
    <x v="1"/>
    <m/>
    <n v="2017"/>
    <m/>
    <s v="waitting for modification "/>
    <m/>
    <s v="AT0007 LJC Testwork"/>
    <s v="C:\Users\wubia\OneDrive - Longi Magnet Australia Pty ltd\Documents - Longi Australia\03 Project Management\Client\FMG\Iron Bridge\AT0007 LJC Testwork"/>
  </r>
  <r>
    <x v="28"/>
    <x v="6"/>
    <x v="18"/>
    <s v="WHIMS Testwork"/>
    <x v="0"/>
    <s v="Hematite"/>
    <m/>
    <x v="1"/>
    <m/>
    <n v="2017"/>
    <m/>
    <s v="Tailing treatment"/>
    <m/>
    <s v="AT0008 WHIMS Testwork"/>
    <s v="C:\Users\wubia\OneDrive - Longi Magnet Australia Pty ltd\Documents - Longi Australia\03 Project Management\Client\FMG\Cloudbreak\AT0008 WHIMS Testwork"/>
  </r>
  <r>
    <x v="29"/>
    <x v="6"/>
    <x v="19"/>
    <s v="Spare Parts"/>
    <x v="3"/>
    <s v="Hematite"/>
    <m/>
    <x v="1"/>
    <m/>
    <n v="2020"/>
    <m/>
    <s v="OPF"/>
    <m/>
    <s v="AP0001 Spare Parts"/>
    <s v="C:\Users\wubia\OneDrive - Longi Magnet Australia Pty ltd\Documents - Longi Australia\03 Project Management\Client\FMG\Christmas Creek \AP0001 Spare Parts"/>
  </r>
  <r>
    <x v="30"/>
    <x v="6"/>
    <x v="20"/>
    <s v="WHIMS Testwork"/>
    <x v="0"/>
    <s v="Hematite"/>
    <m/>
    <x v="1"/>
    <m/>
    <n v="2017"/>
    <m/>
    <s v="Early stage"/>
    <m/>
    <s v="AT0009 WHIMS Testwork"/>
    <s v="C:\Users\wubia\OneDrive - Longi Magnet Australia Pty ltd\Documents - Longi Australia\03 Project Management\Client\FMG\Solomon\AT0009 WHIMS Testwork"/>
  </r>
  <r>
    <x v="31"/>
    <x v="14"/>
    <x v="21"/>
    <s v="Fine Dry Magnetic Separation testing"/>
    <x v="0"/>
    <s v="Magnetite"/>
    <s v="Wood PLC"/>
    <x v="1"/>
    <m/>
    <s v="2023.12.05"/>
    <m/>
    <s v="DFS"/>
    <s v="Estimated start at 2024 Jan."/>
    <s v="AT0010 Fine Dry Magnetic Separation testing"/>
    <s v="C:\Users\wubia\OneDrive - Longi Magnet Australia Pty ltd\Documents - Longi Australia\03 Project Management\Client\Peak_Iron\Hawks Nest Magnetite\AT0010 Fine Dry Magnetic Separation testing"/>
  </r>
  <r>
    <x v="32"/>
    <x v="15"/>
    <x v="22"/>
    <s v="LIMS+WHIMS"/>
    <x v="2"/>
    <s v="Magnetite"/>
    <s v="Wood PLC"/>
    <x v="1"/>
    <m/>
    <s v="2023.11.10"/>
    <s v="2023.11.20"/>
    <s v="DFS"/>
    <m/>
    <s v="AQ0014 LIMS+WHIMS"/>
    <s v="C:\Users\wubia\OneDrive - Longi Magnet Australia Pty ltd\Documents - Longi Australia\03 Project Management\Client\TBA\TBA 1\AQ0014 LIMS+WHIMS"/>
  </r>
  <r>
    <x v="33"/>
    <x v="7"/>
    <x v="23"/>
    <s v="Service"/>
    <x v="4"/>
    <s v="Lithium"/>
    <m/>
    <x v="0"/>
    <m/>
    <m/>
    <m/>
    <m/>
    <m/>
    <s v="AS0001 Service"/>
    <s v="C:\Users\wubia\OneDrive - Longi Magnet Australia Pty ltd\Documents - Longi Australia\03 Project Management\Client\MRL\Mt Marion\AS0001 Service"/>
  </r>
  <r>
    <x v="34"/>
    <x v="16"/>
    <x v="24"/>
    <s v="WHIMS Testwork"/>
    <x v="0"/>
    <s v="Hematite"/>
    <m/>
    <x v="0"/>
    <m/>
    <m/>
    <m/>
    <m/>
    <m/>
    <s v="AT0011 WHIMS Testwork"/>
    <s v="C:\Users\wubia\OneDrive - Longi Magnet Australia Pty ltd\Documents - Longi Australia\03 Project Management\Client\Riotinto\Gudai-Darri 3\AT0011 WHIMS Testwork"/>
  </r>
  <r>
    <x v="35"/>
    <x v="16"/>
    <x v="25"/>
    <s v="WHIMS Testwork"/>
    <x v="0"/>
    <s v="Hematite"/>
    <m/>
    <x v="0"/>
    <m/>
    <m/>
    <m/>
    <m/>
    <m/>
    <s v="AT0012 WHIMS Testwork"/>
    <s v="C:\Users\wubia\OneDrive - Longi Magnet Australia Pty ltd\Documents - Longi Australia\03 Project Management\Client\Riotinto\Tom Price\AT0012 WHIMS Testwork"/>
  </r>
  <r>
    <x v="36"/>
    <x v="17"/>
    <x v="26"/>
    <s v="Murchison"/>
    <x v="2"/>
    <s v="Lithium"/>
    <m/>
    <x v="0"/>
    <m/>
    <m/>
    <m/>
    <m/>
    <m/>
    <s v="AQ0015 Murchison"/>
    <s v="C:\Users\wubia\OneDrive - Longi Magnet Australia Pty ltd\Documents - Longi Australia\03 Project Management\Client\TMT\Murchison\AQ0015 Murchison"/>
  </r>
  <r>
    <x v="37"/>
    <x v="18"/>
    <x v="27"/>
    <s v="Mount Holland Lithium Expansion"/>
    <x v="2"/>
    <s v="Lithium"/>
    <m/>
    <x v="0"/>
    <m/>
    <m/>
    <m/>
    <m/>
    <m/>
    <s v="AQ0016 Mount Holland Lithium Expansion"/>
    <s v="C:\Users\wubia\OneDrive - Longi Magnet Australia Pty ltd\Documents - Longi Australia\03 Project Management\Client\Covalent_Lithium\Mount Holland\AQ0016 Mount Holland Lithium Expansion"/>
  </r>
  <r>
    <x v="38"/>
    <x v="18"/>
    <x v="27"/>
    <s v="Chemical Plant"/>
    <x v="0"/>
    <s v="Lithium"/>
    <m/>
    <x v="0"/>
    <m/>
    <m/>
    <m/>
    <m/>
    <m/>
    <s v="AT0013 Chemical Plant"/>
    <s v="C:\Users\wubia\OneDrive - Longi Magnet Australia Pty ltd\Documents - Longi Australia\03 Project Management\Client\Covalent_Lithium\Mount Holland\AT0013 Chemical Plant"/>
  </r>
  <r>
    <x v="39"/>
    <x v="19"/>
    <x v="28"/>
    <s v="Kathleen Valley Lithium – Tantalum Expansion Project"/>
    <x v="1"/>
    <s v="Lithium"/>
    <m/>
    <x v="0"/>
    <m/>
    <m/>
    <m/>
    <m/>
    <m/>
    <s v="AC0009 Kathleen Valley Lithium – Tantalum Expansion Project"/>
    <s v="C:\Users\wubia\OneDrive - Longi Magnet Australia Pty ltd\Documents - Longi Australia\03 Project Management\Client\Lion_Town\Kathleen Valley\AC0009 Kathleen Valley Lithium – Tantalum Expansion Project"/>
  </r>
  <r>
    <x v="40"/>
    <x v="19"/>
    <x v="29"/>
    <s v="Buldania"/>
    <x v="1"/>
    <s v="Lithium"/>
    <m/>
    <x v="0"/>
    <m/>
    <m/>
    <m/>
    <m/>
    <m/>
    <s v="AC0010 Buldania"/>
    <s v="C:\Users\wubia\OneDrive - Longi Magnet Australia Pty ltd\Documents - Longi Australia\03 Project Management\Client\Lion_Town\Buldania\AC0010 Buldania"/>
  </r>
  <r>
    <x v="41"/>
    <x v="20"/>
    <x v="30"/>
    <s v="Spray bar"/>
    <x v="2"/>
    <s v="Magnetite"/>
    <m/>
    <x v="2"/>
    <m/>
    <m/>
    <m/>
    <m/>
    <m/>
    <s v="AQ0017 Spray bar"/>
    <s v="C:\Users\wubia\OneDrive - Longi Magnet Australia Pty ltd\Documents - Longi Australia\03 Project Management\Client\Karara_Mining\Karara\AQ0017 Spray bar"/>
  </r>
  <r>
    <x v="42"/>
    <x v="21"/>
    <x v="31"/>
    <s v="DLIMS "/>
    <x v="2"/>
    <s v="Magnetite"/>
    <m/>
    <x v="1"/>
    <m/>
    <m/>
    <m/>
    <m/>
    <m/>
    <s v="AQ0018 DLIMS "/>
    <s v="C:\Users\wubia\OneDrive - Longi Magnet Australia Pty ltd\Documents - Longi Australia\03 Project Management\Client\Blackore\Extension Hill\AQ0018 DLIMS "/>
  </r>
  <r>
    <x v="43"/>
    <x v="22"/>
    <x v="32"/>
    <s v="WHIMS Plant"/>
    <x v="1"/>
    <s v="Rare Earth"/>
    <m/>
    <x v="2"/>
    <m/>
    <m/>
    <m/>
    <m/>
    <m/>
    <s v="AC0011 WHIMS Plant"/>
    <s v="C:\Users\wubia\OneDrive - Longi Magnet Australia Pty ltd\Documents - Longi Australia\03 Project Management\Client\Lindian_Resources\Kangankunde\AC0011 WHIMS Plant"/>
  </r>
  <r>
    <x v="44"/>
    <x v="8"/>
    <x v="10"/>
    <s v="CPG3 Equipment Inspection"/>
    <x v="4"/>
    <s v="Lithium"/>
    <s v="Lycopodoium"/>
    <x v="0"/>
    <m/>
    <m/>
    <m/>
    <m/>
    <s v="Inspection at 14th of Dec"/>
    <s v="AS0002 CPG3 Equipment Inspection"/>
    <s v="C:\Users\wubia\OneDrive - Longi Magnet Australia Pty ltd\Documents - Longi Australia\03 Project Management\Client\Talison\Greenbush\AS0002 CPG3 Equipment Inspection"/>
  </r>
  <r>
    <x v="45"/>
    <x v="21"/>
    <x v="31"/>
    <s v="Dry Magnetic Separation Testwork(BV)"/>
    <x v="0"/>
    <s v="Magnetite"/>
    <m/>
    <x v="1"/>
    <m/>
    <m/>
    <m/>
    <m/>
    <m/>
    <s v="AT0014 Dry Magnetic Separation Testwork(BV)"/>
    <s v="C:\Users\wubia\OneDrive - Longi Magnet Australia Pty ltd\Documents - Longi Australia\03 Project Management\Client\Blackore\Extension Hill\AT0014 Dry Magnetic Separation Testwork(BV)"/>
  </r>
  <r>
    <x v="46"/>
    <x v="1"/>
    <x v="2"/>
    <s v="CAP-MAG066-1186 Wet Magnetic Separators"/>
    <x v="2"/>
    <s v="Magnetite"/>
    <m/>
    <x v="1"/>
    <m/>
    <s v="2024.2.9"/>
    <m/>
    <s v="Request "/>
    <m/>
    <s v="AQ0019 CAP-MAG066-1186 Wet Magnetic Separators"/>
    <s v="C:\Users\wubia\OneDrive - Longi Magnet Australia Pty ltd\Documents - Longi Australia\03 Project Management\Client\SIMEC\MEP 2\AQ0019 CAP-MAG066-1186 Wet Magnetic Separators"/>
  </r>
  <r>
    <x v="47"/>
    <x v="23"/>
    <x v="33"/>
    <s v="General Inquiry"/>
    <x v="1"/>
    <s v="Magnetite"/>
    <m/>
    <x v="3"/>
    <m/>
    <m/>
    <m/>
    <m/>
    <m/>
    <s v="AC0012 General Inquiry"/>
    <s v="C:\Users\wubia\OneDrive - Longi Magnet Australia Pty ltd\Documents - Longi Australia\03 Project Management\Client\Magnetite_Mines\The Razorback \AC0012 General Inquiry"/>
  </r>
  <r>
    <x v="48"/>
    <x v="23"/>
    <x v="33"/>
    <s v="WHIMS Hematite Investigation "/>
    <x v="0"/>
    <s v="Hematite"/>
    <m/>
    <x v="2"/>
    <m/>
    <m/>
    <m/>
    <m/>
    <m/>
    <s v="AT0015 WHIMS Hematite Investigation "/>
    <s v="C:\Users\wubia\OneDrive - Longi Magnet Australia Pty ltd\Documents - Longi Australia\03 Project Management\Client\Magnetite_Mines\The Razorback \AT0015 WHIMS Hematite Investigation "/>
  </r>
  <r>
    <x v="49"/>
    <x v="16"/>
    <x v="25"/>
    <s v="Replacing Magnetic Separators "/>
    <x v="2"/>
    <s v="Hematite"/>
    <m/>
    <x v="4"/>
    <m/>
    <m/>
    <m/>
    <m/>
    <m/>
    <s v="AQ0020 Replacing Magnetic Separators "/>
    <s v="C:\Users\wubia\OneDrive - Longi Magnet Australia Pty ltd\Documents - Longi Australia\03 Project Management\Client\Riotinto\Tom Price\AQ0020 Replacing Magnetic Separators "/>
  </r>
  <r>
    <x v="50"/>
    <x v="6"/>
    <x v="8"/>
    <s v="RMS Replacement"/>
    <x v="2"/>
    <s v="Magnetite"/>
    <m/>
    <x v="4"/>
    <m/>
    <s v="2024.1.10"/>
    <s v="2024.1.10"/>
    <m/>
    <m/>
    <s v="AQ0021 RMS Replacement"/>
    <s v="C:\Users\wubia\OneDrive - Longi Magnet Australia Pty ltd\Documents - Longi Australia\03 Project Management\Client\FMG\Iron Bridge\AQ0021 RMS Replacement"/>
  </r>
  <r>
    <x v="51"/>
    <x v="7"/>
    <x v="23"/>
    <s v="LIMS and WHIMS(Minsol)"/>
    <x v="2"/>
    <s v="Lithium"/>
    <s v="Minsol"/>
    <x v="0"/>
    <m/>
    <s v="2024.1.12"/>
    <m/>
    <m/>
    <m/>
    <s v="AQ0022 LIMS and WHIMS(Minsol)"/>
    <s v="C:\Users\wubia\OneDrive - Longi Magnet Australia Pty ltd\Documents - Longi Australia\03 Project Management\Client\MRL\Mt Marion\AQ0022 LIMS and WHIMS(Minsol)"/>
  </r>
  <r>
    <x v="52"/>
    <x v="24"/>
    <x v="34"/>
    <s v="BLP LIMS and WHIMS(Minsol)"/>
    <x v="2"/>
    <s v="Lithium"/>
    <s v="Minsol"/>
    <x v="0"/>
    <m/>
    <s v="2024.1.12"/>
    <m/>
    <m/>
    <m/>
    <s v="AQ0023 BLP LIMS and WHIMS(Minsol)"/>
    <s v="C:\Users\wubia\OneDrive - Longi Magnet Australia Pty ltd\Documents - Longi Australia\03 Project Management\Client\ Savannah_Resources\Barroso Lithium Project(Portugal)\AQ0023 BLP LIMS and WHIMS(Minsol)"/>
  </r>
  <r>
    <x v="53"/>
    <x v="8"/>
    <x v="10"/>
    <s v="CGP1 Oil Cooling Coil upgrade"/>
    <x v="4"/>
    <s v="Lithium"/>
    <m/>
    <x v="0"/>
    <m/>
    <s v="2024.1.10"/>
    <m/>
    <m/>
    <m/>
    <s v="AS0003 CGP1 Oil Cooling Coil upgrade"/>
    <s v="C:\Users\wubia\OneDrive - Longi Magnet Australia Pty ltd\Documents - Longi Australia\03 Project Management\Client\Talison\Greenbush\AS0003 CGP1 Oil Cooling Coil upgrade"/>
  </r>
  <r>
    <x v="54"/>
    <x v="0"/>
    <x v="0"/>
    <s v="VRM and MS Pilot Testwork"/>
    <x v="0"/>
    <s v="Magnetite"/>
    <m/>
    <x v="2"/>
    <m/>
    <m/>
    <m/>
    <m/>
    <m/>
    <s v="AT0016 VRM and MS Pilot Testwork"/>
    <s v="C:\Users\wubia\OneDrive - Longi Magnet Australia Pty ltd\Documents - Longi Australia\03 Project Management\Client\HanRoy\Mt Beavan\AT0016 VRM and MS Pilot Testwork"/>
  </r>
  <r>
    <x v="55"/>
    <x v="16"/>
    <x v="25"/>
    <s v="General Inquiry"/>
    <x v="1"/>
    <s v="Ilmenite+Magnetite"/>
    <m/>
    <x v="5"/>
    <m/>
    <m/>
    <m/>
    <m/>
    <m/>
    <s v="AC0013 General Inquiry"/>
    <s v="C:\Users\wubia\OneDrive - Longi Magnet Australia Pty ltd\Documents - Longi Australia\03 Project Management\Client\Riotinto\Tom Price\AC0013 General Inquiry"/>
  </r>
  <r>
    <x v="56"/>
    <x v="7"/>
    <x v="23"/>
    <s v="LIMS Service"/>
    <x v="4"/>
    <s v="Lithium"/>
    <s v="Multotec"/>
    <x v="0"/>
    <m/>
    <m/>
    <m/>
    <m/>
    <m/>
    <s v="AS0004 LIMS Service"/>
    <s v="C:\Users\wubia\OneDrive - Longi Magnet Australia Pty ltd\Documents - Longi Australia\03 Project Management\Client\MRL\Mt Marion\AS0004 LIMS Service"/>
  </r>
  <r>
    <x v="57"/>
    <x v="25"/>
    <x v="35"/>
    <s v="Tails WHIMS Testwork"/>
    <x v="0"/>
    <s v="Manganese"/>
    <m/>
    <x v="2"/>
    <m/>
    <m/>
    <m/>
    <m/>
    <m/>
    <s v="AT0017 Tails WHIMS Testwork"/>
    <s v="C:\Users\wubia\OneDrive - Longi Magnet Australia Pty ltd\Documents - Longi Australia\03 Project Management\Client\ConsMin\Woodie Woodie\AT0017 Tails WHIMS Testwork"/>
  </r>
  <r>
    <x v="58"/>
    <x v="7"/>
    <x v="9"/>
    <s v="WHIMS Service"/>
    <x v="4"/>
    <s v="Lithium"/>
    <m/>
    <x v="0"/>
    <m/>
    <m/>
    <m/>
    <m/>
    <m/>
    <s v="AS0005 WHIMS Service"/>
    <s v="C:\Users\wubia\OneDrive - Longi Magnet Australia Pty ltd\Documents - Longi Australia\03 Project Management\Client\MRL\Wodgina\AS0005 WHIMS Service"/>
  </r>
  <r>
    <x v="59"/>
    <x v="0"/>
    <x v="11"/>
    <s v="HI-RDLY-0109"/>
    <x v="2"/>
    <s v="Magnetite"/>
    <m/>
    <x v="0"/>
    <m/>
    <d v="2024-02-12T00:00:00"/>
    <m/>
    <m/>
    <m/>
    <s v="AQ0024 HI-RDLY-0109"/>
    <s v="C:\Users\wubia\OneDrive - Longi Magnet Australia Pty ltd\Documents - Longi Australia\03 Project Management\Client\HanRoy\Ridley\AQ0024 HI-RDLY-0109"/>
  </r>
  <r>
    <x v="60"/>
    <x v="21"/>
    <x v="36"/>
    <s v="LJC Testwork"/>
    <x v="0"/>
    <s v="Magnetite"/>
    <m/>
    <x v="6"/>
    <m/>
    <m/>
    <m/>
    <m/>
    <m/>
    <s v="AT0018 LJC Testwork"/>
    <s v="C:\Users\wubia\OneDrive - Longi Magnet Australia Pty ltd\Documents - Longi Australia\03 Project Management\Client\Blackore\Liberia Bang\AT0018 LJC Testwork"/>
  </r>
  <r>
    <x v="61"/>
    <x v="7"/>
    <x v="23"/>
    <s v="Heat Exchanger Upgade"/>
    <x v="2"/>
    <s v="Lithium"/>
    <m/>
    <x v="0"/>
    <m/>
    <m/>
    <m/>
    <m/>
    <m/>
    <s v="AQ0025 Heat Exchanger Upgade"/>
    <s v="..\Client\MRL\Mt Marion\AQ0025 Heat Exchanger Upgade"/>
  </r>
  <r>
    <x v="62"/>
    <x v="1"/>
    <x v="1"/>
    <s v="Metal Detector"/>
    <x v="2"/>
    <s v="Magnetite"/>
    <s v="BGE"/>
    <x v="1"/>
    <m/>
    <m/>
    <m/>
    <m/>
    <m/>
    <s v="AQ0026 Metal Detector"/>
    <s v="C:\Users\wubia\OneDrive - Longi Magnet Australia Pty ltd\Documents - Longi Australia\03 Project Management\Client\SIMEC\MEP 1\AQ0026 Metal Detector"/>
  </r>
  <r>
    <x v="63"/>
    <x v="26"/>
    <x v="37"/>
    <s v="Metal Detector"/>
    <x v="2"/>
    <s v="Others"/>
    <s v="BGE"/>
    <x v="6"/>
    <m/>
    <d v="2024-03-13T00:00:00"/>
    <m/>
    <m/>
    <m/>
    <s v="AQ0027 Metal Detector"/>
    <s v="C:\Users\wubia\OneDrive - Longi Magnet Australia Pty ltd\Documents - Longi Australia\03 Project Management\Client\_MWPA\Mid West Port Authority\AQ0027 Metal Detector"/>
  </r>
  <r>
    <x v="64"/>
    <x v="27"/>
    <x v="38"/>
    <s v="WHIMS Service"/>
    <x v="4"/>
    <s v="Others"/>
    <m/>
    <x v="2"/>
    <m/>
    <m/>
    <m/>
    <m/>
    <m/>
    <s v="AS0006 WHIMS Service"/>
    <s v="..\Client\BV\BV Perth\AS0006 WHIMS Service"/>
  </r>
  <r>
    <x v="65"/>
    <x v="28"/>
    <x v="39"/>
    <s v="LGS-500 Installation"/>
    <x v="4"/>
    <s v="Others"/>
    <m/>
    <x v="2"/>
    <m/>
    <m/>
    <m/>
    <m/>
    <m/>
    <s v="AS0007 LGS-500 Installation"/>
    <s v="..\Client\ALS\ALS Balcata\AS0007 LGS-500 Installation"/>
  </r>
  <r>
    <x v="66"/>
    <x v="29"/>
    <x v="40"/>
    <s v="LGS-100 Installation"/>
    <x v="4"/>
    <s v="Others"/>
    <m/>
    <x v="0"/>
    <m/>
    <m/>
    <m/>
    <m/>
    <m/>
    <s v="AS0008 LGS-100 Installation"/>
    <s v="..\Client\Nagrom\Nagrom\AS0008 LGS-100 Installation"/>
  </r>
  <r>
    <x v="67"/>
    <x v="21"/>
    <x v="31"/>
    <s v="MS Testworks(HQ)"/>
    <x v="0"/>
    <s v="Magnetite"/>
    <m/>
    <x v="2"/>
    <m/>
    <m/>
    <m/>
    <m/>
    <m/>
    <s v="AT0019 MS Testworks(HQ)"/>
    <s v="C:\Users\wubia\OneDrive - Longi Magnet Australia Pty ltd\Documents - Longi Australia\03 Project Management\Client\Blackore\Extension Hill\AT0019 MS Testworks(HQ)"/>
  </r>
  <r>
    <x v="68"/>
    <x v="6"/>
    <x v="19"/>
    <s v="WHIMS Investigation "/>
    <x v="0"/>
    <s v="Hematite"/>
    <m/>
    <x v="3"/>
    <m/>
    <m/>
    <m/>
    <m/>
    <m/>
    <s v="AT0020 WHIMS Investigation "/>
    <s v="C:\Users\wubia\OneDrive - Longi Magnet Australia Pty ltd\Documents - Longi Australia\03 Project Management\Client\FMG\Christmas Creek \AT0020 WHIMS Investigation "/>
  </r>
  <r>
    <x v="69"/>
    <x v="16"/>
    <x v="41"/>
    <s v="Greensteel WHIMS"/>
    <x v="0"/>
    <s v="Hematite"/>
    <m/>
    <x v="3"/>
    <m/>
    <m/>
    <m/>
    <m/>
    <m/>
    <s v="AT0021 Greensteel WHIMS"/>
    <s v="C:\Users\wubia\OneDrive - Longi Magnet Australia Pty ltd\Documents - Longi Australia\03 Project Management\Client\Riotinto\Green Steel\AT0021 Greensteel WHIMS"/>
  </r>
  <r>
    <x v="70"/>
    <x v="1"/>
    <x v="1"/>
    <s v="LJC Pilot Test"/>
    <x v="0"/>
    <s v="Magnetite"/>
    <m/>
    <x v="1"/>
    <m/>
    <m/>
    <m/>
    <m/>
    <m/>
    <s v="AT0022 LJC Pilot Test"/>
    <s v="C:\Users\wubia\OneDrive - Longi Magnet Australia Pty ltd\Documents - Longi Australia\03 Project Management\Client\SIMEC\MEP 1\AT0022 LJC Pilot Test"/>
  </r>
  <r>
    <x v="71"/>
    <x v="30"/>
    <x v="42"/>
    <s v="HMDS Drum Replacment"/>
    <x v="2"/>
    <s v="Coal"/>
    <m/>
    <x v="1"/>
    <m/>
    <d v="2024-03-10T00:00:00"/>
    <m/>
    <m/>
    <m/>
    <s v="AQ0028 HMDS Drum Replacment"/>
    <s v="C:\Users\wubia\OneDrive - Longi Magnet Australia Pty ltd\Documents - Longi Australia\03 Project Management\Client\PEABODY_ENERGY\WINBO\AQ0028 HMDS Drum Replacment"/>
  </r>
  <r>
    <x v="72"/>
    <x v="20"/>
    <x v="30"/>
    <s v="MS Investigation "/>
    <x v="0"/>
    <s v="Magnetite"/>
    <m/>
    <x v="2"/>
    <m/>
    <m/>
    <m/>
    <m/>
    <m/>
    <s v="AT0023 MS Investigation "/>
    <s v="C:\Users\wubia\OneDrive - Longi Magnet Australia Pty ltd\Documents - Longi Australia\03 Project Management\Client\Karara_Mining\Karara\AT0023 MS Investigation "/>
  </r>
  <r>
    <x v="73"/>
    <x v="1"/>
    <x v="1"/>
    <s v="LCGF Testwork"/>
    <x v="0"/>
    <s v="Magnetite"/>
    <m/>
    <x v="3"/>
    <m/>
    <m/>
    <m/>
    <m/>
    <m/>
    <s v="AT0024 LCGF Testwork"/>
    <s v="C:\Users\wubia\OneDrive - Longi Magnet Australia Pty ltd\Documents - Longi Australia\03 Project Management\Client\SIMEC\MEP 1\AT0024 LCGF Testwork"/>
  </r>
  <r>
    <x v="74"/>
    <x v="31"/>
    <x v="43"/>
    <s v="General Inquiry"/>
    <x v="1"/>
    <s v="Manganese"/>
    <m/>
    <x v="2"/>
    <m/>
    <m/>
    <m/>
    <m/>
    <m/>
    <s v="AC0014 General Inquiry"/>
    <s v="C:\Users\wubia\OneDrive - Longi Magnet Australia Pty ltd\Documents - Longi Australia\03 Project Management\Client\Lincoln_Minerals\Green Iron Magnetite\AC0014 General Inquiry"/>
  </r>
  <r>
    <x v="75"/>
    <x v="7"/>
    <x v="23"/>
    <s v="WHIMS SPARES"/>
    <x v="2"/>
    <s v="Lithium"/>
    <m/>
    <x v="0"/>
    <m/>
    <d v="2024-03-14T00:00:00"/>
    <d v="2024-03-22T00:00:00"/>
    <s v="Prepare the PO"/>
    <m/>
    <s v="AQ0029 WHIMS SPARES"/>
    <s v="C:\Users\wubia\OneDrive - Longi Magnet Australia Pty ltd\Documents - Longi Australia\03 Project Management\Client\MRL\Mt Marion\AQ0029 WHIMS SPARES"/>
  </r>
  <r>
    <x v="76"/>
    <x v="6"/>
    <x v="20"/>
    <s v="DMS LIMS"/>
    <x v="2"/>
    <s v="Hematite"/>
    <s v="PRIMERO"/>
    <x v="0"/>
    <m/>
    <d v="2024-03-14T00:00:00"/>
    <d v="2024-03-22T00:00:00"/>
    <m/>
    <s v="BUDGET QUOTE"/>
    <s v="AQ0030 DMS LIMS"/>
    <s v="C:\Users\wubia\OneDrive - Longi Magnet Australia Pty ltd\Documents - Longi Australia\03 Project Management\Client\FMG\Solomon\AQ0030 DMS LIMS"/>
  </r>
  <r>
    <x v="77"/>
    <x v="7"/>
    <x v="23"/>
    <s v="WHIMS SPARES"/>
    <x v="2"/>
    <s v="Lithium"/>
    <m/>
    <x v="0"/>
    <m/>
    <d v="2024-02-23T00:00:00"/>
    <d v="2024-02-28T00:00:00"/>
    <s v="PO issued"/>
    <m/>
    <s v="AQ0031 WHIMS SPARES"/>
    <s v="C:\Users\wubia\OneDrive - Longi Magnet Australia Pty ltd\Documents - Longi Australia\03 Project Management\Client\MRL\Mt Marion\AQ0031 WHIMS SPARES"/>
  </r>
  <r>
    <x v="78"/>
    <x v="1"/>
    <x v="3"/>
    <s v="LJC Budget"/>
    <x v="2"/>
    <s v="Magnetite"/>
    <s v="Wood PLC"/>
    <x v="1"/>
    <m/>
    <d v="2024-03-26T00:00:00"/>
    <m/>
    <m/>
    <m/>
    <s v="AQ0032 LJC Budget"/>
    <s v="C:\Users\wubia\OneDrive - Longi Magnet Australia Pty ltd\Documents - Longi Australia\03 Project Management\Client\SIMEC\MEP 3\AQ0032 LJC Budget"/>
  </r>
  <r>
    <x v="79"/>
    <x v="7"/>
    <x v="23"/>
    <s v="Spare Parts"/>
    <x v="3"/>
    <s v="Lithium"/>
    <m/>
    <x v="0"/>
    <m/>
    <m/>
    <m/>
    <m/>
    <m/>
    <s v="AP0002 Spare Parts"/>
    <s v="C:\Users\wubia\OneDrive - Longi Magnet Australia Pty ltd\Documents - Longi Australia\03 Project Management\Client\MRL\Mt Marion\AP0002 Spare Parts"/>
  </r>
  <r>
    <x v="80"/>
    <x v="7"/>
    <x v="9"/>
    <s v="WHIMS SPARES"/>
    <x v="2"/>
    <s v="Lithium"/>
    <m/>
    <x v="0"/>
    <m/>
    <d v="2024-03-26T00:00:00"/>
    <d v="2024-03-26T00:00:00"/>
    <m/>
    <m/>
    <s v="AQ0033 WHIMS SPARES"/>
    <s v="C:\Users\wubia\OneDrive - Longi Magnet Australia Pty ltd\Documents - Longi Australia\03 Project Management\Client\MRL\Wodgina\AQ0033 WHIMS SPARES"/>
  </r>
  <r>
    <x v="81"/>
    <x v="32"/>
    <x v="44"/>
    <s v="WHIMS Pilot"/>
    <x v="0"/>
    <s v="Rare Earth"/>
    <m/>
    <x v="1"/>
    <m/>
    <m/>
    <m/>
    <m/>
    <m/>
    <s v="AT0025 WHIMS Pilot"/>
    <s v="C:\Users\wubia\OneDrive - Longi Magnet Australia Pty ltd\Documents - Longi Australia\03 Project Management\Client\MNREC\Khalzan_Buregtei\AT0025 WHIMS Pilot"/>
  </r>
  <r>
    <x v="82"/>
    <x v="33"/>
    <x v="45"/>
    <s v="Minral sand MS testwork"/>
    <x v="0"/>
    <s v="Minral Sand"/>
    <s v="Multotec"/>
    <x v="0"/>
    <m/>
    <m/>
    <m/>
    <m/>
    <m/>
    <s v="AT0026 Minral sand MS testwork"/>
    <s v="C:\Users\wubia\OneDrive - Longi Magnet Australia Pty ltd\Documents - Longi Australia\03 Project Management\Client\Trenel\Trenel\AT0026 Minral sand MS testwork"/>
  </r>
  <r>
    <x v="83"/>
    <x v="16"/>
    <x v="46"/>
    <s v="CHPP"/>
    <x v="2"/>
    <s v="Coal"/>
    <s v="Multotec"/>
    <x v="0"/>
    <m/>
    <d v="2024-03-26T00:00:00"/>
    <d v="2024-03-28T00:00:00"/>
    <m/>
    <m/>
    <s v="AQ0034 CHPP"/>
    <s v="C:\Users\wubia\OneDrive - Longi Magnet Australia Pty ltd\Documents - Longi Australia\03 Project Management\Client\Riotinto\\AQ0034 HVO CHPP"/>
  </r>
  <r>
    <x v="84"/>
    <x v="33"/>
    <x v="45"/>
    <s v="TRENEL"/>
    <x v="0"/>
    <s v="Silica"/>
    <s v="Multotec"/>
    <x v="0"/>
    <s v="ATQ0026"/>
    <d v="2024-03-28T00:00:00"/>
    <d v="2024-03-28T00:00:00"/>
    <m/>
    <m/>
    <s v="AT0027 TRENEL"/>
    <s v="C:\Users\wubia\OneDrive - Longi Magnet Australia Pty ltd\Documents - Longi Australia\03 Project Management\Client\Trenel\Trenel\AT0027 TRENEL"/>
  </r>
  <r>
    <x v="85"/>
    <x v="34"/>
    <x v="47"/>
    <s v="P1000"/>
    <x v="2"/>
    <s v="SPODUMENE"/>
    <m/>
    <x v="0"/>
    <m/>
    <d v="2024-03-15T00:00:00"/>
    <d v="2024-03-28T00:00:00"/>
    <m/>
    <m/>
    <s v="AQ0035 P1000"/>
    <s v="C:\Users\wubia\OneDrive - Longi Magnet Australia Pty ltd\Documents - Longi Australia\03 Project Management\Client\PLS\Pilgangoora\AQ0035 P1000"/>
  </r>
  <r>
    <x v="86"/>
    <x v="35"/>
    <x v="48"/>
    <s v="General Inquiry"/>
    <x v="1"/>
    <s v="Others"/>
    <m/>
    <x v="3"/>
    <m/>
    <m/>
    <m/>
    <m/>
    <m/>
    <s v="AC0015 General Inquiry"/>
    <s v="C:\Users\wubia\OneDrive - Longi Magnet Australia Pty ltd\Documents - Longi Australia\03 Project Management\Client\Loesche\Loesche\AC0015 General Inquiry"/>
  </r>
  <r>
    <x v="87"/>
    <x v="36"/>
    <x v="49"/>
    <s v="General Inquiry"/>
    <x v="1"/>
    <s v="Others"/>
    <m/>
    <x v="3"/>
    <m/>
    <m/>
    <m/>
    <m/>
    <m/>
    <s v="AC0016 General Inquiry"/>
    <s v="C:\Users\wubia\OneDrive - Longi Magnet Australia Pty ltd\Documents - Longi Australia\03 Project Management\Client\Empire_Metals \Pitfield\AC0016 General Inquiry"/>
  </r>
  <r>
    <x v="88"/>
    <x v="37"/>
    <x v="50"/>
    <s v="Belt iron remover "/>
    <x v="2"/>
    <s v="Others"/>
    <m/>
    <x v="0"/>
    <m/>
    <m/>
    <m/>
    <m/>
    <m/>
    <s v="AQ0036 Belt iron remover "/>
    <s v="C:\Users\wubia\OneDrive - Longi Magnet Australia Pty ltd\Documents - Longi Australia\03 Project Management\Client\Norton\Paddington\AQ0036 Belt iron remover "/>
  </r>
  <r>
    <x v="89"/>
    <x v="0"/>
    <x v="0"/>
    <s v="LCGF Pilot Testwork"/>
    <x v="0"/>
    <s v="Magnetite"/>
    <m/>
    <x v="2"/>
    <m/>
    <m/>
    <m/>
    <m/>
    <m/>
    <s v="AT0028 LCGF Pilot Testwork"/>
    <s v="C:\Users\wubia\OneDrive - Longi Magnet Australia Pty ltd\Documents - Longi Australia\03 Project Management\Client\HanRoy\Mt Beavan\AT0028 LCGF Pilot Testwork"/>
  </r>
  <r>
    <x v="90"/>
    <x v="7"/>
    <x v="23"/>
    <s v="Belt Magnet Drum Testwork"/>
    <x v="0"/>
    <s v="Lithium"/>
    <m/>
    <x v="0"/>
    <m/>
    <m/>
    <m/>
    <m/>
    <m/>
    <s v="AT0029 Belt Magnet Drum Testwork"/>
    <s v="C:\Users\wubia\OneDrive - Longi Magnet Australia Pty ltd\Documents - Longi Australia\03 Project Management\Client\MRL\Mt Marion\AT0029 Belt Magnet Drum Testwork"/>
  </r>
  <r>
    <x v="91"/>
    <x v="29"/>
    <x v="40"/>
    <s v="General Inquiry"/>
    <x v="1"/>
    <s v="Others"/>
    <m/>
    <x v="2"/>
    <m/>
    <m/>
    <m/>
    <m/>
    <m/>
    <s v="AC0017 General Inquiry"/>
    <s v="C:\Users\wubia\OneDrive - Longi Magnet Australia Pty ltd\Documents - Longi Australia\03 Project Management\Client\Nagrom\Nagrom\AC0017 General Inquiry"/>
  </r>
  <r>
    <x v="92"/>
    <x v="1"/>
    <x v="1"/>
    <s v="DLIMS FS MT"/>
    <x v="2"/>
    <s v="Magnetite"/>
    <s v="Mineral Technology"/>
    <x v="1"/>
    <m/>
    <m/>
    <m/>
    <m/>
    <m/>
    <s v="AQ0037 DLIMS FS MT"/>
    <s v="C:\Users\wubia\OneDrive - Longi Magnet Australia Pty ltd\Documents - Longi Australia\03 Project Management\Client\SIMEC\MEP 1\AQ0037 DLIMS FS MT"/>
  </r>
  <r>
    <x v="93"/>
    <x v="32"/>
    <x v="44"/>
    <s v="WHIMS PFS"/>
    <x v="2"/>
    <s v="Rare Earth"/>
    <s v="Wood PLC"/>
    <x v="1"/>
    <m/>
    <m/>
    <m/>
    <m/>
    <m/>
    <s v="AQ0038 WHIMS PFS"/>
    <s v="C:\Users\wubia\OneDrive - Longi Magnet Australia Pty ltd\Documents - Longi Australia\03 Project Management\Client\MNREC\Khalzan_Buregtei\AQ0038 WHIMS PFS"/>
  </r>
  <r>
    <x v="94"/>
    <x v="21"/>
    <x v="31"/>
    <s v="LCGJ DMS"/>
    <x v="2"/>
    <s v="Magnetite"/>
    <m/>
    <x v="3"/>
    <m/>
    <m/>
    <m/>
    <m/>
    <m/>
    <s v="AQ0039 LCGJ DMS"/>
    <s v="C:\Users\wubia\OneDrive - Longi Magnet Australia Pty ltd\Documents - Longi Australia\03 Project Management\Client\Blackore\Extension Hill\AQ0039 LCGJ DMS"/>
  </r>
  <r>
    <x v="95"/>
    <x v="4"/>
    <x v="6"/>
    <s v="DFS CP008 MS"/>
    <x v="2"/>
    <s v="Lithium"/>
    <s v="GR"/>
    <x v="0"/>
    <m/>
    <d v="2024-05-06T00:00:00"/>
    <d v="2024-05-20T00:00:00"/>
    <m/>
    <m/>
    <s v="AQ0040 DFS CP008 MS"/>
    <s v="C:\Users\wubia\OneDrive - Longi Magnet Australia Pty ltd\Documents - Longi Australia\03 Project Management\Client\Globel_Lithium\Manna Lithium\AQ0040 DFS CP008 MS"/>
  </r>
  <r>
    <x v="96"/>
    <x v="27"/>
    <x v="38"/>
    <s v="LGS-EX Replacement"/>
    <x v="2"/>
    <s v="Others"/>
    <m/>
    <x v="1"/>
    <m/>
    <m/>
    <m/>
    <m/>
    <m/>
    <s v="AQ0041 LGS-EX Replacement"/>
    <s v="C:\Users\wubia\OneDrive - Longi Magnet Australia Pty ltd\Documents - Longi Australia\03 Project Management\Client\BV\BV Perth\AQ0041 LGS-EX Replacement"/>
  </r>
  <r>
    <x v="97"/>
    <x v="18"/>
    <x v="27"/>
    <s v="General Service"/>
    <x v="4"/>
    <s v="Lithium"/>
    <m/>
    <x v="0"/>
    <m/>
    <m/>
    <m/>
    <m/>
    <m/>
    <s v="AS0009 General Service"/>
    <s v="C:\Users\wubia\OneDrive - Longi Magnet Australia Pty ltd\Documents - Longi Australia\03 Project Management\Client\Covalent_Lithium\Mount Holland\AS0009 General Service"/>
  </r>
  <r>
    <x v="98"/>
    <x v="1"/>
    <x v="1"/>
    <s v="UCMS FS MT"/>
    <x v="2"/>
    <s v="Magnetite"/>
    <s v="Mineral Technology"/>
    <x v="1"/>
    <m/>
    <m/>
    <m/>
    <m/>
    <m/>
    <s v="AQ0042 UCMS FS MT"/>
    <s v="C:\Users\wubia\OneDrive - Longi Magnet Australia Pty ltd\Documents - Longi Australia\03 Project Management\Client\SIMEC\MEP 1\AQ0042 UCMS FS MT"/>
  </r>
  <r>
    <x v="99"/>
    <x v="38"/>
    <x v="51"/>
    <s v="Greensteel Mag Separation Collbaration "/>
    <x v="1"/>
    <s v="Others"/>
    <m/>
    <x v="3"/>
    <m/>
    <m/>
    <m/>
    <m/>
    <m/>
    <s v="AC0018 Greensteel Mag Separation Collbaration "/>
    <s v="C:\Users\wubia\OneDrive - Longi Magnet Australia Pty ltd\Documents - Longi Australia\03 Project Management\Client\CXL\Greensteel\AC0018 Greensteel Mag Separation Collbaration "/>
  </r>
  <r>
    <x v="100"/>
    <x v="1"/>
    <x v="52"/>
    <s v="WHIMS Testwork"/>
    <x v="0"/>
    <s v="Hematite"/>
    <m/>
    <x v="1"/>
    <m/>
    <m/>
    <m/>
    <m/>
    <m/>
    <s v="AT0030 WHIMS Testwork"/>
    <s v="C:\Users\wubia\OneDrive - Longi Magnet Australia Pty ltd\Documents - Longi Australia\03 Project Management\Client\SIMEC\Hematite\AT0030 WHIMS Testwork"/>
  </r>
  <r>
    <x v="101"/>
    <x v="28"/>
    <x v="39"/>
    <s v="LGS-500 Rentel"/>
    <x v="2"/>
    <s v="Rare Earth"/>
    <m/>
    <x v="2"/>
    <m/>
    <m/>
    <m/>
    <m/>
    <m/>
    <s v="AQ0043 LGS-500 Rentel"/>
    <s v="C:\Users\wubia\OneDrive - Longi Magnet Australia Pty ltd\Documents - Longi Australia\03 Project Management\Client\ALS\ALS Balcata\AQ0043 LGS-500 Rentel"/>
  </r>
  <r>
    <x v="102"/>
    <x v="8"/>
    <x v="10"/>
    <s v="CGP1 COMPLETE CHANGE"/>
    <x v="2"/>
    <s v="Lithium"/>
    <m/>
    <x v="0"/>
    <m/>
    <d v="2024-05-22T00:00:00"/>
    <d v="2024-05-22T00:00:00"/>
    <m/>
    <m/>
    <s v="AQ0044 CGP1 COMPLETE CHANGE"/>
    <s v="C:\Users\wubia\OneDrive - Longi Magnet Australia Pty ltd\Documents - Longi Australia\03 Project Management\Client\Talison\\AQ0044 CGP1 COMPLETE CHANGE"/>
  </r>
  <r>
    <x v="103"/>
    <x v="8"/>
    <x v="10"/>
    <s v="CGP2 COMPLETE CHANGE"/>
    <x v="2"/>
    <s v="Lithium"/>
    <m/>
    <x v="0"/>
    <m/>
    <d v="2024-05-11T00:00:00"/>
    <d v="2024-05-11T00:00:00"/>
    <m/>
    <m/>
    <s v="AQ0045 CGP2 COMPLETE CHANGE"/>
    <s v="C:\Users\wubia\OneDrive - Longi Magnet Australia Pty ltd\Documents - Longi Australia\03 Project Management\Client\Talison\\AQ0045 CGP2 COMPLETE CHANGE"/>
  </r>
  <r>
    <x v="104"/>
    <x v="7"/>
    <x v="9"/>
    <s v="Spare Parts"/>
    <x v="3"/>
    <s v="Lithium"/>
    <m/>
    <x v="0"/>
    <m/>
    <d v="2024-05-27T00:00:00"/>
    <d v="2024-05-27T00:00:00"/>
    <m/>
    <m/>
    <s v="AP0003 Spare Parts"/>
    <s v="C:\Users\wubia\OneDrive - Longi Magnet Australia Pty ltd\Documents - Longi Australia\03 Project Management\Client\MRL\Wodgina\AP0003 Spare Parts"/>
  </r>
  <r>
    <x v="105"/>
    <x v="23"/>
    <x v="33"/>
    <s v="LCGF  Trial"/>
    <x v="0"/>
    <s v="Magnetite"/>
    <m/>
    <x v="3"/>
    <m/>
    <m/>
    <m/>
    <m/>
    <m/>
    <s v="AT0031 LCGF  Trial"/>
    <s v="C:\Users\wubia\OneDrive - Longi Magnet Australia Pty ltd\Documents - Longi Australia\03 Project Management\Client\Magnetite_Mines\The Razorback \AT0031 LCGF  Trial"/>
  </r>
  <r>
    <x v="106"/>
    <x v="28"/>
    <x v="39"/>
    <s v="LGS-100 "/>
    <x v="2"/>
    <s v="Others"/>
    <m/>
    <x v="2"/>
    <m/>
    <m/>
    <m/>
    <m/>
    <m/>
    <s v="AQ0046 LGS-100 "/>
    <s v="C:\Users\wubia\OneDrive - Longi Magnet Australia Pty ltd\Documents - Longi Australia\03 Project Management\Client\ALS\ALS Balcata\AQ0046 LGS-100 "/>
  </r>
  <r>
    <x v="107"/>
    <x v="39"/>
    <x v="53"/>
    <s v="General Inquiry"/>
    <x v="1"/>
    <s v="Ilmenite+Magnetite"/>
    <m/>
    <x v="3"/>
    <m/>
    <m/>
    <m/>
    <m/>
    <m/>
    <s v="AC0019 General Inquiry"/>
    <s v="C:\Users\wubia\OneDrive - Longi Magnet Australia Pty ltd\Documents - Longi Australia\03 Project Management\Client\Cockatoo_Island_Mining\Cockatoo_Island\AC0019 General Inquiry"/>
  </r>
  <r>
    <x v="108"/>
    <x v="1"/>
    <x v="1"/>
    <s v="12935 CP008B DIMS Package"/>
    <x v="2"/>
    <s v="Magnetite"/>
    <s v="GR"/>
    <x v="1"/>
    <m/>
    <m/>
    <m/>
    <m/>
    <m/>
    <s v="AQ0047 12935 CP008B DIMS Package"/>
    <s v="C:\Users\wubia\OneDrive - Longi Magnet Australia Pty ltd\Documents - Longi Australia\03 Project Management\Client\SIMEC\MEP 1\AQ0047 12935 CP008B DIMS Package"/>
  </r>
  <r>
    <x v="109"/>
    <x v="1"/>
    <x v="1"/>
    <s v="12935 CP008C LJC Package"/>
    <x v="2"/>
    <s v="Magnetite"/>
    <s v="GR"/>
    <x v="1"/>
    <m/>
    <m/>
    <m/>
    <m/>
    <m/>
    <s v="AQ0048 12935 CP008C LJC Package"/>
    <s v="C:\Users\wubia\OneDrive - Longi Magnet Australia Pty ltd\Documents - Longi Australia\03 Project Management\Client\SIMEC\MEP 1\AQ0048 12935 CP008C LJC Package"/>
  </r>
  <r>
    <x v="110"/>
    <x v="18"/>
    <x v="27"/>
    <s v="Dry Magnetic Separation Testwork"/>
    <x v="0"/>
    <s v="Lithium"/>
    <m/>
    <x v="0"/>
    <m/>
    <m/>
    <m/>
    <m/>
    <m/>
    <s v="AT0032 Dry Magnetic Separation Testwork"/>
    <s v="C:\Users\wubia\OneDrive - Longi Magnet Australia Pty ltd\Documents - Longi Australia\03 Project Management\Client\Covalent_Lithium\Mount Holland\AT0032 Dry Magnetic Separation Testwork"/>
  </r>
  <r>
    <x v="111"/>
    <x v="6"/>
    <x v="8"/>
    <s v="RCMS Replacement(LJC)"/>
    <x v="2"/>
    <s v="Magnetite"/>
    <m/>
    <x v="3"/>
    <m/>
    <m/>
    <m/>
    <m/>
    <m/>
    <s v="AQ0049 RCMS Replacement(LJC)"/>
    <s v="C:\Users\wubia\OneDrive - Longi Magnet Australia Pty ltd\Documents - Longi Australia\03 Project Management\Client\FMG\Iron Bridge\AQ0049 RCMS Replacement(LJC)"/>
  </r>
  <r>
    <x v="112"/>
    <x v="6"/>
    <x v="54"/>
    <s v="Second LGS500"/>
    <x v="2"/>
    <s v="Hematite"/>
    <m/>
    <x v="1"/>
    <m/>
    <m/>
    <m/>
    <m/>
    <m/>
    <s v="AQ0050 Second LGS500"/>
    <s v="C:\Users\wubia\OneDrive - Longi Magnet Australia Pty ltd\Documents - Longi Australia\03 Project Management\Client\FMG\Newman\AQ0050 Second LGS500"/>
  </r>
  <r>
    <x v="113"/>
    <x v="39"/>
    <x v="53"/>
    <s v="Magnetic Separation Testwork"/>
    <x v="0"/>
    <s v="Ilmenite+Magnetite"/>
    <m/>
    <x v="2"/>
    <m/>
    <m/>
    <m/>
    <m/>
    <m/>
    <s v="AT0033 Magnetic Separation Testwork"/>
    <s v="C:\Users\wubia\OneDrive - Longi Magnet Australia Pty ltd\Documents - Longi Australia\03 Project Management\Client\Cockatoo_Island_Mining\Cockatoo_Island\AT0033 Magnetic Separation Testwork"/>
  </r>
  <r>
    <x v="114"/>
    <x v="40"/>
    <x v="55"/>
    <s v="General Inquiry"/>
    <x v="1"/>
    <s v="Magnetite"/>
    <m/>
    <x v="2"/>
    <m/>
    <m/>
    <m/>
    <m/>
    <m/>
    <s v="AC0020 General Inquiry"/>
    <s v="C:\Users\wubia\OneDrive - Longi Magnet Australia Pty ltd\Documents - Longi Australia\03 Project Management\Client\Karawara_Minerals\Broula_Magnetite\AC0020 General Inquiry"/>
  </r>
  <r>
    <x v="115"/>
    <x v="7"/>
    <x v="23"/>
    <s v="WHIMS Protection LIMS"/>
    <x v="2"/>
    <s v="Lithium"/>
    <m/>
    <x v="0"/>
    <m/>
    <m/>
    <m/>
    <m/>
    <m/>
    <s v="AQ0051 WHIMS Protection LIMS"/>
    <s v="C:\Users\wubia\OneDrive - Longi Magnet Australia Pty ltd\Documents - Longi Australia\03 Project Management\Client\MRL\Mt Marion\AQ0051 WHIMS Protection LIMS"/>
  </r>
  <r>
    <x v="116"/>
    <x v="41"/>
    <x v="56"/>
    <s v="Cyclone OF Recovery Testwork"/>
    <x v="0"/>
    <s v="Hematite"/>
    <m/>
    <x v="2"/>
    <m/>
    <m/>
    <m/>
    <m/>
    <m/>
    <s v="AT0034 Cyclone OF Recovery Testwork"/>
    <s v="C:\Users\wubia\OneDrive - Longi Magnet Australia Pty ltd\Documents - Longi Australia\03 Project Management\Client\Roy_Hill\Roy_Hill\AT0034 Cyclone OF Recovery Testwork"/>
  </r>
  <r>
    <x v="117"/>
    <x v="10"/>
    <x v="13"/>
    <s v="Metallurgical Testworks"/>
    <x v="0"/>
    <s v="Magnetite"/>
    <m/>
    <x v="2"/>
    <m/>
    <m/>
    <m/>
    <m/>
    <m/>
    <s v="AT0035 Metallurgical Testworks"/>
    <s v="C:\Users\wubia\OneDrive - Longi Magnet Australia Pty ltd\Documents - Longi Australia\03 Project Management\Client\Young_Steel\Snaefell\AT0035 Metallurgical Testworks"/>
  </r>
  <r>
    <x v="118"/>
    <x v="10"/>
    <x v="57"/>
    <s v="Dry MS Testwork"/>
    <x v="0"/>
    <s v="Ilmenite+Magnetite"/>
    <m/>
    <x v="2"/>
    <m/>
    <m/>
    <m/>
    <m/>
    <m/>
    <s v="AT0036 Dry MS Testwork"/>
    <s v="C:\Users\wubia\OneDrive - Longi Magnet Australia Pty ltd\Documents - Longi Australia\03 Project Management\Client\Young_Steel\Waste Dam\AT0036 Dry MS Testwork"/>
  </r>
  <r>
    <x v="119"/>
    <x v="10"/>
    <x v="58"/>
    <s v="MS Testworks"/>
    <x v="0"/>
    <s v="Magnetite"/>
    <m/>
    <x v="2"/>
    <m/>
    <m/>
    <m/>
    <m/>
    <m/>
    <s v="AT0037 MS Testworks"/>
    <s v="C:\Users\wubia\OneDrive - Longi Magnet Australia Pty ltd\Documents - Longi Australia\03 Project Management\Client\Young_Steel\Commmonwelth_Hill\AT0037 MS Testworks"/>
  </r>
  <r>
    <x v="120"/>
    <x v="6"/>
    <x v="59"/>
    <s v="General Inquiry"/>
    <x v="0"/>
    <s v="Hematite"/>
    <m/>
    <x v="3"/>
    <m/>
    <m/>
    <m/>
    <m/>
    <m/>
    <s v="AT0038 General Inquiry"/>
    <s v="C:\Users\wubia\OneDrive - Longi Magnet Australia Pty ltd\Documents - Longi Australia\03 Project Management\Client\FMG\Belinga\AT0038 General Inquiry"/>
  </r>
  <r>
    <x v="121"/>
    <x v="40"/>
    <x v="55"/>
    <s v="Magnetic Separation Trial"/>
    <x v="0"/>
    <s v="Magnetite"/>
    <m/>
    <x v="2"/>
    <m/>
    <m/>
    <m/>
    <m/>
    <m/>
    <s v="AT0039 Magnetic Separation Trial"/>
    <s v="C:\Users\wubia\OneDrive - Longi Magnet Australia Pty ltd\Documents - Longi Australia\03 Project Management\Client\Karawara_Minerals\Broula_Magnetite\AT0039 Magnetic Separation Trial"/>
  </r>
  <r>
    <x v="122"/>
    <x v="42"/>
    <x v="60"/>
    <s v="RFQ-004 LIMS"/>
    <x v="2"/>
    <s v="Minral Sand"/>
    <m/>
    <x v="3"/>
    <m/>
    <m/>
    <m/>
    <m/>
    <m/>
    <s v="AQ0052 RFQ-004 LIMS"/>
    <s v="C:\Users\wubia\OneDrive - Longi Magnet Australia Pty ltd\Documents - Longi Australia\03 Project Management\Client\Mayur\Orokolo_Bay\AQ0052 RFQ-004 LIMS"/>
  </r>
  <r>
    <x v="123"/>
    <x v="23"/>
    <x v="33"/>
    <s v="Dry Magnetic Separation Testwork"/>
    <x v="0"/>
    <s v="Magnetite"/>
    <m/>
    <x v="2"/>
    <m/>
    <m/>
    <m/>
    <m/>
    <m/>
    <s v="AT0040 Dry Magnetic Separation Testwork"/>
    <s v="C:\Users\wubia\OneDrive - Longi Magnet Australia Pty ltd\Documents - Longi Australia\03 Project Management\Client\Magnetite_Mines\The Razorback \AT0040 Dry Magnetic Separation Testwork"/>
  </r>
  <r>
    <x v="124"/>
    <x v="6"/>
    <x v="19"/>
    <s v="WHIMS Service"/>
    <x v="4"/>
    <s v="Hematite"/>
    <m/>
    <x v="3"/>
    <m/>
    <m/>
    <m/>
    <m/>
    <m/>
    <s v="AS0010 WHIMS Service"/>
    <s v="C:\Users\wubia\OneDrive - Longi Magnet Australia Pty ltd\Documents - Longi Australia\03 Project Management\Client\FMG\Christmas Creek \AS0010 WHIMS Service"/>
  </r>
  <r>
    <x v="125"/>
    <x v="6"/>
    <x v="8"/>
    <s v="Dry Magnetic Separation Drum Replacement"/>
    <x v="2"/>
    <s v="Magnetite"/>
    <m/>
    <x v="3"/>
    <m/>
    <m/>
    <m/>
    <m/>
    <m/>
    <s v="AQ0053 Dry Magnetic Separation Drum Replacement"/>
    <s v="C:\Users\wubia\OneDrive - Longi Magnet Australia Pty ltd\Documents - Longi Australia\03 Project Management\Client\FMG\Iron Bridge\AQ0053 Dry Magnetic Separation Drum Replacement"/>
  </r>
  <r>
    <x v="126"/>
    <x v="7"/>
    <x v="9"/>
    <s v="WHIMS Testwork"/>
    <x v="0"/>
    <s v="Lithium"/>
    <m/>
    <x v="3"/>
    <m/>
    <m/>
    <m/>
    <m/>
    <m/>
    <s v="AT0041 WHIMS Testwork"/>
    <s v="C:\Users\wubia\OneDrive - Longi Magnet Australia Pty ltd\Documents - Longi Australia\03 Project Management\Client\MRL\Wodgina\AT0041 WHIMS Testwork"/>
  </r>
  <r>
    <x v="127"/>
    <x v="6"/>
    <x v="61"/>
    <s v=" OPF Tails Scavenging Testwork"/>
    <x v="1"/>
    <s v="Hematite"/>
    <m/>
    <x v="3"/>
    <m/>
    <m/>
    <m/>
    <m/>
    <m/>
    <s v="AC0021  OPF Tails Scavenging Testwork"/>
    <s v="C:\Users\wubia\OneDrive - Longi Magnet Australia Pty ltd\Documents - Longi Australia\03 Project Management\Client\FMG\Kings\AC0021  OPF Tails Scavenging Testwork"/>
  </r>
  <r>
    <x v="128"/>
    <x v="7"/>
    <x v="9"/>
    <s v="RFP - PP007 - MRL3468 MS (LIMS) - Train 4"/>
    <x v="2"/>
    <s v="Lithium"/>
    <m/>
    <x v="3"/>
    <m/>
    <m/>
    <m/>
    <m/>
    <m/>
    <s v="AQ0054 RFP - PP007 - MRL3468 MS (LIMS) - Train 4"/>
    <s v="C:\Users\wubia\OneDrive - Longi Magnet Australia Pty ltd\Documents - Longi Australia\03 Project Management\Client\MRL\Wodgina\AQ0054 RFP - PP007 - MRL3468 MS (LIMS) - Train 4"/>
  </r>
  <r>
    <x v="129"/>
    <x v="7"/>
    <x v="9"/>
    <s v="RFP - PP007 - MRL3468 MS (WHIMS) - Train 4"/>
    <x v="2"/>
    <s v="Lithium"/>
    <m/>
    <x v="3"/>
    <m/>
    <m/>
    <m/>
    <m/>
    <m/>
    <s v="AQ0055 RFP - PP007 - MRL3468 MS (WHIMS) - Train 4"/>
    <s v="C:\Users\wubia\OneDrive - Longi Magnet Australia Pty ltd\Documents - Longi Australia\03 Project Management\Client\MRL\Wodgina\AQ0055 RFP - PP007 - MRL3468 MS (WHIMS) - Train 4"/>
  </r>
  <r>
    <x v="130"/>
    <x v="7"/>
    <x v="9"/>
    <s v="RFP - PP007 - MRL3468 MS (LIMS) - Train 4"/>
    <x v="2"/>
    <s v="Lithium"/>
    <m/>
    <x v="3"/>
    <m/>
    <m/>
    <m/>
    <m/>
    <m/>
    <s v="AQ0056 RFP - PP007 - MRL3468 MS (LIMS) - Train 4"/>
    <s v="C:\Users\wubia\OneDrive - Longi Magnet Australia Pty ltd\Documents - Longi Australia\03 Project Management\Client\FMG\Kings\AC0022 KV Tails Scavenging Testwork"/>
  </r>
  <r>
    <x v="131"/>
    <x v="16"/>
    <x v="41"/>
    <s v="Q4'24 WHIMS Testwork"/>
    <x v="0"/>
    <s v="Magnetite and Hematite"/>
    <m/>
    <x v="2"/>
    <m/>
    <m/>
    <m/>
    <m/>
    <m/>
    <s v="AT0042 Q4'24 WHIMS Testwork"/>
    <s v="C:\Users\wubia\OneDrive - Longi Magnet Australia Pty ltd\Documents - Longi Australia\03 Project Management\Client\Riotinto\Green Steel\AT0042 Q4'24 WHIMS Testwork"/>
  </r>
  <r>
    <x v="132"/>
    <x v="18"/>
    <x v="27"/>
    <s v="Coarse DMS Cons MS Testwork"/>
    <x v="0"/>
    <s v="Lithium"/>
    <m/>
    <x v="2"/>
    <m/>
    <m/>
    <m/>
    <m/>
    <m/>
    <s v="AT0043 Coarse DMS Cons MS Testwork"/>
    <s v="C:\Users\wubia\OneDrive - Longi Magnet Australia Pty ltd\Documents - Longi Australia\03 Project Management\Client\Covalent_Lithium\Mount Holland\AT0043 Coarse DMS Cons MS Testwork"/>
  </r>
  <r>
    <x v="133"/>
    <x v="7"/>
    <x v="23"/>
    <s v="Fine Flotation Study"/>
    <x v="2"/>
    <s v="Lithium"/>
    <s v="Minovo"/>
    <x v="3"/>
    <m/>
    <d v="2024-09-03T00:00:00"/>
    <m/>
    <m/>
    <m/>
    <s v="AQ0057 Fine Flotation Study"/>
    <s v="C:\Users\wubia\OneDrive - Longi Magnet Australia Pty ltd\Documents - Longi Australia\03 Project Management\Client\MRL\Mt Marion\AQ0057 Fine Flotation Study"/>
  </r>
  <r>
    <x v="134"/>
    <x v="16"/>
    <x v="41"/>
    <s v="Magnetic Separation Trial(LCGF)"/>
    <x v="0"/>
    <s v="Magnetite"/>
    <m/>
    <x v="2"/>
    <m/>
    <m/>
    <m/>
    <m/>
    <m/>
    <s v="AT0044 Magnetic Separation Trial(LCGF)"/>
    <s v="C:\Users\wubia\OneDrive - Longi Magnet Australia Pty ltd\Documents - Longi Australia\03 Project Management\Client\Riotinto\Green Steel\AT0044 Magnetic Separation Trial(LCGF)"/>
  </r>
  <r>
    <x v="135"/>
    <x v="16"/>
    <x v="62"/>
    <s v="Modular Concentrator Conceptual Study(FOC)"/>
    <x v="2"/>
    <s v="Hematite"/>
    <s v="DHHI"/>
    <x v="1"/>
    <m/>
    <m/>
    <m/>
    <m/>
    <m/>
    <s v="AQ0058 Modular Concentrator Conceptual Study(FOC)"/>
    <s v="C:\Users\wubia\OneDrive - Longi Magnet Australia Pty ltd\Documents - Longi Australia\03 Project Management\Client\Riotinto\Unknown\AQ0058 Modular Concentrator Conceptual Study(FOC)"/>
  </r>
  <r>
    <x v="136"/>
    <x v="7"/>
    <x v="23"/>
    <s v="Coarse MS Testwork"/>
    <x v="0"/>
    <s v="Lithium"/>
    <s v="Ganfeng"/>
    <x v="0"/>
    <m/>
    <m/>
    <m/>
    <m/>
    <m/>
    <s v="AT0045 Coarse MS Testwork"/>
    <s v="C:\Users\wubia\OneDrive - Longi Magnet Australia Pty ltd\Documents - Longi Australia\03 Project Management\Client\MRL\Mt Marion\AT0045 Coarse MS Testwork"/>
  </r>
  <r>
    <x v="137"/>
    <x v="43"/>
    <x v="63"/>
    <s v="General Inquiry"/>
    <x v="1"/>
    <s v="Magnetite"/>
    <m/>
    <x v="3"/>
    <m/>
    <m/>
    <m/>
    <m/>
    <m/>
    <s v="AC0022 General Inquiry"/>
    <s v="C:\Users\wubia\OneDrive - Longi Magnet Australia Pty ltd\Documents - Longi Australia\03 Project Management\Client\Agile_Mining\Commonwelth_Hill\AC0022 General Inquiry"/>
  </r>
  <r>
    <x v="138"/>
    <x v="44"/>
    <x v="64"/>
    <s v="LGS-100"/>
    <x v="2"/>
    <s v="Others"/>
    <m/>
    <x v="2"/>
    <m/>
    <m/>
    <m/>
    <m/>
    <m/>
    <s v="AQ0059 LGS-100"/>
    <s v="C:\Users\wubia\OneDrive - Longi Magnet Australia Pty ltd\Documents - Longi Australia\03 Project Management\Client\LMA\Warehouse\AQ0059 LGS-100"/>
  </r>
  <r>
    <x v="139"/>
    <x v="7"/>
    <x v="65"/>
    <s v="El Aouj Project in Mauritania"/>
    <x v="2"/>
    <s v="Magnetite"/>
    <s v="MRL"/>
    <x v="0"/>
    <m/>
    <m/>
    <m/>
    <m/>
    <m/>
    <s v="AQ0060 El Aouj Project in Mauritania"/>
    <s v="C:\Users\wubia\OneDrive - Longi Magnet Australia Pty ltd\Documents - Longi Australia\03 Project Management\Client\MRL\Mauritania\AQ0060 El Aouj Project in Mauritania"/>
  </r>
  <r>
    <x v="140"/>
    <x v="45"/>
    <x v="66"/>
    <s v="Metallurgical Testworks"/>
    <x v="0"/>
    <s v="Base Metal"/>
    <m/>
    <x v="2"/>
    <m/>
    <m/>
    <m/>
    <m/>
    <m/>
    <s v="AT0046 Metallurgical Testworks"/>
    <s v="C:\Users\wubia\OneDrive - Longi Magnet Australia Pty ltd\Documents - Longi Australia\03 Project Management\Client\Venus_Metals\Younami_Gabbro_Project\AT0046 Metallurgical Testworks"/>
  </r>
  <r>
    <x v="141"/>
    <x v="43"/>
    <x v="63"/>
    <s v="Magnetic Separation Testwork"/>
    <x v="0"/>
    <s v="Magnetite"/>
    <m/>
    <x v="2"/>
    <m/>
    <m/>
    <m/>
    <m/>
    <m/>
    <s v="AT0047 Magnetic Separation Testwork"/>
    <s v="C:\Users\wubia\OneDrive - Longi Magnet Australia Pty ltd\Documents - Longi Australia\03 Project Management\Client\Agile_Mining\Commonwelth_Hill\AT0047 Magnetic Separation Testwork"/>
  </r>
  <r>
    <x v="142"/>
    <x v="46"/>
    <x v="67"/>
    <s v="LIMS(IHC JN561)"/>
    <x v="2"/>
    <s v="Minral Sand"/>
    <s v="IHC"/>
    <x v="3"/>
    <m/>
    <m/>
    <m/>
    <m/>
    <m/>
    <s v="AQ0061 LIMS(IHC JN561)"/>
    <s v="C:\Users\wubia\OneDrive - Longi Magnet Australia Pty ltd\Documents - Longi Australia\03 Project Management\Client\Allup_Silica\McLaren_Project\AQ0061 LIMS(IHC JN561)"/>
  </r>
  <r>
    <x v="143"/>
    <x v="7"/>
    <x v="68"/>
    <s v="Stationary Tramp Iron Magnet"/>
    <x v="2"/>
    <s v="Hematite"/>
    <m/>
    <x v="0"/>
    <m/>
    <m/>
    <m/>
    <m/>
    <m/>
    <s v="AQ0062 Stationary Tramp Iron Magnet"/>
    <s v="C:\Users\wubia\OneDrive - Longi Magnet Australia Pty ltd\Documents - Longi Australia\03 Project Management\Client\MRL\TBA\AQ0062 Stationary Tramp Iron Magnet"/>
  </r>
  <r>
    <x v="144"/>
    <x v="8"/>
    <x v="10"/>
    <s v="General Service"/>
    <x v="4"/>
    <s v="Lithium"/>
    <m/>
    <x v="0"/>
    <m/>
    <m/>
    <m/>
    <m/>
    <m/>
    <s v="AS0011 General Service"/>
    <s v="C:\Users\wubia\OneDrive - Longi Magnet Australia Pty ltd\Documents - Longi Australia\03 Project Management\Client\Talison\Greenbush\AS0011 General Service"/>
  </r>
  <r>
    <x v="145"/>
    <x v="47"/>
    <x v="69"/>
    <s v="Replace MSR2301 and MSR3301"/>
    <x v="2"/>
    <s v="Coal"/>
    <s v="Multotec"/>
    <x v="0"/>
    <m/>
    <m/>
    <m/>
    <m/>
    <m/>
    <s v="AQ0063 Replace MSR2301 and MSR3301"/>
    <s v="C:\Users\wubia\OneDrive - Longi Magnet Australia Pty ltd\Documents - Longi Australia\03 Project Management\Client\Glencore\Ravensworth_Coal \AQ0063 Replace MSR2301 and MSR3301"/>
  </r>
  <r>
    <x v="146"/>
    <x v="6"/>
    <x v="8"/>
    <s v="LJK Package For CV301"/>
    <x v="2"/>
    <s v="Magnetite"/>
    <m/>
    <x v="3"/>
    <m/>
    <m/>
    <m/>
    <m/>
    <m/>
    <s v="AQ0064 LJK Package For CV301"/>
    <s v="C:\Users\wubia\OneDrive - Longi Magnet Australia Pty ltd\Documents - Longi Australia\03 Project Management\Client\FMG\Iron Bridge\AQ0064 LJK Package For CV301"/>
  </r>
  <r>
    <x v="147"/>
    <x v="6"/>
    <x v="19"/>
    <s v="Green Steel Pilot Plant"/>
    <x v="2"/>
    <s v="Others"/>
    <m/>
    <x v="3"/>
    <m/>
    <m/>
    <m/>
    <m/>
    <m/>
    <s v="AQ0065 Green Steel Pilot Plant"/>
    <s v="C:\Users\wubia\OneDrive - Longi Magnet Australia Pty ltd\Documents - Longi Australia\03 Project Management\Client\FMG\Christmas Creek \AQ0065 Green Steel Pilot Plant"/>
  </r>
  <r>
    <x v="148"/>
    <x v="48"/>
    <x v="70"/>
    <s v="General Inquiry"/>
    <x v="1"/>
    <s v="Silica"/>
    <s v="Multotec"/>
    <x v="0"/>
    <m/>
    <s v="2024.10.16"/>
    <m/>
    <m/>
    <m/>
    <s v="AC0023 General Inquiry"/>
    <s v="C:\Users\wubia\OneDrive - Longi Magnet Australia Pty ltd\Documents - Longi Australia\03 Project Management\Client\Silica_Resources_Australia\Mourilya_ Silica_Sands_Project\AC0023 General Inquiry"/>
  </r>
  <r>
    <x v="149"/>
    <x v="49"/>
    <x v="71"/>
    <s v="HMDS Drum "/>
    <x v="2"/>
    <s v="Coal"/>
    <s v="Multotec"/>
    <x v="0"/>
    <m/>
    <s v="2024.10.16"/>
    <m/>
    <m/>
    <m/>
    <s v="AQ0066 HMDS Drum "/>
    <s v="C:\Users\wubia\OneDrive - Longi Magnet Australia Pty ltd\Documents - Longi Australia\03 Project Management\Client\Bravus_Mining&amp;Resuroces\Carmichael\AQ0066 HMDS Drum "/>
  </r>
  <r>
    <x v="150"/>
    <x v="50"/>
    <x v="72"/>
    <s v=" Process Plant Reinstatement Project"/>
    <x v="2"/>
    <s v="Tin"/>
    <s v="Multotec"/>
    <x v="0"/>
    <m/>
    <s v="2024.10.16"/>
    <m/>
    <m/>
    <m/>
    <s v="AQ0067  Process Plant Reinstatement Project"/>
    <s v="C:\Users\wubia\OneDrive - Longi Magnet Australia Pty ltd\Documents - Longi Australia\03 Project Management\Client\Huntore_Australia\Mt_Veteran\AQ0067  Process Plant Reinstatement Project"/>
  </r>
  <r>
    <x v="151"/>
    <x v="51"/>
    <x v="73"/>
    <s v="Yinnetharra Project PFS-LIMS"/>
    <x v="2"/>
    <s v="Lithium"/>
    <s v="PRIMERO"/>
    <x v="0"/>
    <m/>
    <s v="2024.10.21"/>
    <m/>
    <m/>
    <m/>
    <s v="AQ0068 Yinnetharra Project PFS-LIMS"/>
    <s v="C:\Users\wubia\OneDrive - Longi Magnet Australia Pty ltd\Documents - Longi Australia\03 Project Management\Client\Delta_Lithium\Yinnetharra\AQ0068 Yinnetharra Project PFS-LIMS"/>
  </r>
  <r>
    <x v="152"/>
    <x v="1"/>
    <x v="1"/>
    <s v="DIMS LJK Tramp Magnet Package"/>
    <x v="2"/>
    <s v="Magnetite"/>
    <m/>
    <x v="3"/>
    <m/>
    <m/>
    <m/>
    <m/>
    <m/>
    <s v="AQ0069 DIMS LJK Tramp Magnet Package"/>
    <s v="C:\Users\wubia\OneDrive - Longi Magnet Australia Pty ltd\Documents - Longi Australia\03 Project Management\Client\SIMEC\MEP 1\AQ0069 DIMS LJK Tramp Magnet Package"/>
  </r>
  <r>
    <x v="153"/>
    <x v="1"/>
    <x v="52"/>
    <s v="Tails Recovery Project"/>
    <x v="1"/>
    <s v="Hematite"/>
    <m/>
    <x v="1"/>
    <m/>
    <m/>
    <m/>
    <m/>
    <m/>
    <s v="AC0024 Tails Recovery Project"/>
    <s v="C:\Users\wubia\OneDrive - Longi Magnet Australia Pty ltd\Documents - Longi Australia\03 Project Management\Client\SIMEC\Hematite\AC0024 Tails Recovery Project"/>
  </r>
  <r>
    <x v="154"/>
    <x v="52"/>
    <x v="74"/>
    <s v="Heavy Rare Earth Project  HGMS (CP085)"/>
    <x v="2"/>
    <s v="Rare Earth"/>
    <m/>
    <x v="1"/>
    <m/>
    <s v="2024.11.07"/>
    <m/>
    <m/>
    <m/>
    <s v="AQ0070 Heavy Rare Earth Project  HGMS (CP085)"/>
    <s v="C:\Users\wubia\OneDrive - Longi Magnet Australia Pty ltd\Documents - Longi Australia\03 Project Management\Client\Northern_Mineral\Browns_Range\AQ0070 Heavy Rare Earth Project  HGMS (CP085)"/>
  </r>
  <r>
    <x v="155"/>
    <x v="53"/>
    <x v="75"/>
    <s v="Static Magnet"/>
    <x v="2"/>
    <s v="Quarry"/>
    <s v="Multotec"/>
    <x v="0"/>
    <m/>
    <s v="2024.11.05"/>
    <s v="2024.11.13"/>
    <m/>
    <m/>
    <s v="AQ0071 Static Magnet"/>
    <s v="C:\Users\wubia\OneDrive - Longi Magnet Australia Pty ltd\Documents - Longi Australia\03 Project Management\Client\Aurora_Construction_Materials\Quarry\AQ0071 Static Magnet"/>
  </r>
  <r>
    <x v="156"/>
    <x v="8"/>
    <x v="10"/>
    <s v="CGP3 spares"/>
    <x v="2"/>
    <s v="Lithium"/>
    <m/>
    <x v="0"/>
    <m/>
    <s v="2024.11.13"/>
    <s v="2024.11.14"/>
    <m/>
    <m/>
    <s v="AQ0072 CGP3 spares"/>
    <s v="C:\Users\wubia\OneDrive - Longi Magnet Australia Pty ltd\Documents - Longi Australia\03 Project Management\Client\Talison\Greenbush\AQ0072 CGP3 spares"/>
  </r>
  <r>
    <x v="157"/>
    <x v="24"/>
    <x v="34"/>
    <s v="B069-D02-07280-RQ-0001(WHIMS &amp; LIMS)"/>
    <x v="2"/>
    <s v="Lithium"/>
    <s v="Minsol"/>
    <x v="0"/>
    <m/>
    <s v="2024.11.20"/>
    <s v="2024.11.22"/>
    <m/>
    <m/>
    <s v="AQ0073 B069-D02-07280-RQ-0001(WHIMS &amp; LIMS)"/>
    <s v="C:\Users\wubia\OneDrive - Longi Magnet Australia Pty ltd\Documents - Longi Australia\03 Project Management\Client\ Savannah_Resources\Barroso Lithium Project(Portugal)\AQ0073 B069-D02-07280-RQ-0001(WHIMS &amp; LIMS)"/>
  </r>
  <r>
    <x v="158"/>
    <x v="7"/>
    <x v="65"/>
    <s v="El Aouj Project LJK "/>
    <x v="2"/>
    <s v="Magnetite"/>
    <m/>
    <x v="3"/>
    <m/>
    <m/>
    <m/>
    <m/>
    <m/>
    <s v="AQ0074 El Aouj Project LJK "/>
    <s v="C:\Users\wubia\OneDrive - Longi Magnet Australia Pty ltd\Documents - Longi Australia\03 Project Management\Client\MRL\Mauritania\AQ0074 El Aouj Project LJK "/>
  </r>
  <r>
    <x v="159"/>
    <x v="54"/>
    <x v="76"/>
    <s v="General Inquiry"/>
    <x v="1"/>
    <s v="Tungsten"/>
    <m/>
    <x v="2"/>
    <m/>
    <m/>
    <m/>
    <m/>
    <m/>
    <s v="AC0025 General Inquiry"/>
    <s v="C:\Users\wubia\OneDrive - Longi Magnet Australia Pty ltd\Documents - Longi Australia\03 Project Management\Client\Tungsten_Mining\Mt_Mulgine\AC0025 General Inquiry"/>
  </r>
  <r>
    <x v="160"/>
    <x v="55"/>
    <x v="77"/>
    <s v="General Inquiry"/>
    <x v="1"/>
    <s v="Magnetite and Hematite"/>
    <m/>
    <x v="3"/>
    <m/>
    <m/>
    <m/>
    <m/>
    <m/>
    <s v="AC0026 General Inquiry"/>
    <s v="C:\Users\wubia\OneDrive - Longi Magnet Australia Pty ltd\Documents - Longi Australia\03 Project Management\Client\Havilah_Resources\GRANTS_GRANTS_BASIN\AC0026 General Inquiry"/>
  </r>
  <r>
    <x v="161"/>
    <x v="56"/>
    <x v="78"/>
    <s v="Metallurgical Testworks"/>
    <x v="0"/>
    <s v="Minral Sand"/>
    <m/>
    <x v="0"/>
    <m/>
    <m/>
    <m/>
    <m/>
    <m/>
    <s v="AT0048 Metallurgical Testworks"/>
    <s v="C:\Users\wubia\OneDrive - Longi Magnet Australia Pty ltd\Documents - Longi Australia\03 Project Management\Client\Dome_Gold\Sigatoka_Ironsands_Project\AT0048 Metallurgical Testworks"/>
  </r>
  <r>
    <x v="162"/>
    <x v="2"/>
    <x v="4"/>
    <s v="LJC300 Modelar Plant Trial"/>
    <x v="2"/>
    <s v="Magnetite"/>
    <m/>
    <x v="3"/>
    <m/>
    <m/>
    <m/>
    <m/>
    <m/>
    <s v="AQ0075 LJC300 Modelar Plant Trial"/>
    <s v="C:\Users\wubia\OneDrive - Longi Magnet Australia Pty ltd\Documents - Longi Australia\03 Project Management\Client\Grange\Savage River\AQ0075 LJC300 Modelar Plant Trial"/>
  </r>
  <r>
    <x v="163"/>
    <x v="57"/>
    <x v="79"/>
    <s v="Low capacity LIMS units"/>
    <x v="2"/>
    <s v="Lithum-battery recycling"/>
    <s v="Wood PLC"/>
    <x v="1"/>
    <m/>
    <m/>
    <m/>
    <m/>
    <m/>
    <s v="AQ0076 Low capacity LIMS units"/>
    <s v="C:\Users\wubia\OneDrive - Longi Magnet Australia Pty ltd\Documents - Longi Australia\03 Project Management\Client\Iondrive\Pretreatment Facility\AQ0076 Low capacity LIMS units"/>
  </r>
  <r>
    <x v="164"/>
    <x v="58"/>
    <x v="80"/>
    <s v="Tailing sample MS test"/>
    <x v="0"/>
    <s v="Rare Earth"/>
    <m/>
    <x v="1"/>
    <m/>
    <m/>
    <m/>
    <m/>
    <m/>
    <s v="AT0049 Tailing sample MS test"/>
    <s v="C:\Users\wubia\OneDrive - Longi Magnet Australia Pty ltd\Documents - Longi Australia\03 Project Management\Client\HASTING\Yangibana\AT0049 Tailing sample MS test"/>
  </r>
  <r>
    <x v="165"/>
    <x v="59"/>
    <x v="81"/>
    <s v="HAWSONS Dry Mag Separation"/>
    <x v="0"/>
    <s v="Magnetite"/>
    <s v="CMD Consulting"/>
    <x v="3"/>
    <m/>
    <m/>
    <m/>
    <m/>
    <m/>
    <s v="AT0050 HAWSONS Dry Mag Separation"/>
    <s v="C:\Users\wubia\OneDrive - Longi Magnet Australia Pty ltd\Documents - Longi Australia\03 Project Management\Client\Hawsons_Iron\Hawsons Iron Project\AT0050 HAWSONS Dry Mag Separation"/>
  </r>
  <r>
    <x v="166"/>
    <x v="6"/>
    <x v="82"/>
    <s v="Hematite Dry Mag Sep"/>
    <x v="0"/>
    <s v="Hematite"/>
    <m/>
    <x v="3"/>
    <m/>
    <m/>
    <m/>
    <m/>
    <m/>
    <s v="AT0051 Hematite Dry Mag Sep"/>
    <s v="C:\Users\wubia\OneDrive - Longi Magnet Australia Pty ltd\Documents - Longi Australia\03 Project Management\Client\FMG\Eliwana\AT0051 Hematite Dry Mag Sep"/>
  </r>
  <r>
    <x v="167"/>
    <x v="55"/>
    <x v="77"/>
    <s v="Dry Magnetic Separation Testwork"/>
    <x v="0"/>
    <s v="Magnetite and Hematite"/>
    <m/>
    <x v="2"/>
    <m/>
    <m/>
    <m/>
    <m/>
    <m/>
    <s v="AT0052 Dry Magnetic Separation Testwork"/>
    <s v="C:\Users\wubia\OneDrive - Longi Magnet Australia Pty ltd\Documents - Longi Australia\03 Project Management\Client\Havilah_Resources\GRANTS_GRANTS_BASIN\AT0052 Dry Magnetic Separation Testwork"/>
  </r>
  <r>
    <x v="168"/>
    <x v="60"/>
    <x v="31"/>
    <s v="LCGJ DMS"/>
    <x v="4"/>
    <s v="Magnetite and Hematite"/>
    <m/>
    <x v="6"/>
    <m/>
    <m/>
    <m/>
    <m/>
    <m/>
    <s v="AS0012 LCGJ DMS"/>
    <s v="C:\Users\wubia\OneDrive - Longi Magnet Australia Pty ltd\Documents - Longi Australia\03 Project Management\Client\Terra_mining\Extension Hill\AS0012 LCGJ DMS"/>
  </r>
  <r>
    <x v="169"/>
    <x v="61"/>
    <x v="83"/>
    <s v="Tungsten WHIMS  Testwork"/>
    <x v="0"/>
    <s v="Tungsten"/>
    <s v="ISOE"/>
    <x v="3"/>
    <m/>
    <m/>
    <m/>
    <m/>
    <m/>
    <s v="AT0053 Tungsten WHIMS  Testwork"/>
    <s v="C:\Users\wubia\OneDrive - Longi Magnet Australia Pty ltd\Documents - Longi Australia\03 Project Management\Client\Group6Metals\Dolphin Tungsten Mine\AT0053 Tungsten WHIMS  Testwork"/>
  </r>
  <r>
    <x v="170"/>
    <x v="39"/>
    <x v="53"/>
    <s v="High Strength Dry Mag Separation Mod Plant"/>
    <x v="2"/>
    <s v="Hematite"/>
    <m/>
    <x v="3"/>
    <m/>
    <m/>
    <m/>
    <m/>
    <m/>
    <s v="AQ0077 High Strength Dry Mag Separation Mod Plant"/>
    <s v="C:\Users\wubia\OneDrive - Longi Magnet Australia Pty ltd\Documents - Longi Australia\03 Project Management\Client\Cockatoo_Island_Mining\Cockatoo_Island\AQ0077 High Strength Dry Mag Separation Mod Plant"/>
  </r>
  <r>
    <x v="171"/>
    <x v="7"/>
    <x v="23"/>
    <s v="HDMS Drum Assembly"/>
    <x v="2"/>
    <s v="Lithium"/>
    <s v="RMEM"/>
    <x v="0"/>
    <m/>
    <m/>
    <m/>
    <m/>
    <m/>
    <s v="AQ0078 HDMS Drum Assembly"/>
    <s v="C:\Users\wubia\OneDrive - Longi Magnet Australia Pty ltd\Documents - Longi Australia\03 Project Management\Client\MRL\Mt Marion\AQ0078 HDMS Drum Assembly"/>
  </r>
  <r>
    <x v="172"/>
    <x v="62"/>
    <x v="84"/>
    <s v="Dry Eletromagnet Filter Enquiry"/>
    <x v="0"/>
    <s v="Silica"/>
    <m/>
    <x v="2"/>
    <m/>
    <m/>
    <m/>
    <m/>
    <m/>
    <s v="AT0054 Dry Eletromagnet Filter Enquiry"/>
    <s v="C:\Users\wubia\OneDrive - Longi Magnet Australia Pty ltd\Documents - Longi Australia\03 Project Management\Client\Vytas\Ultra High Grade Quartz\AT0054 Dry Eletromagnet Filter Enquiry"/>
  </r>
  <r>
    <x v="173"/>
    <x v="27"/>
    <x v="38"/>
    <s v="Demag-Coil"/>
    <x v="2"/>
    <s v="Others"/>
    <m/>
    <x v="2"/>
    <m/>
    <m/>
    <m/>
    <m/>
    <m/>
    <s v="AQ0079 Demag-Coil"/>
    <s v="C:\Users\wubia\OneDrive - Longi Magnet Australia Pty ltd\Documents - Longi Australia\03 Project Management\Client\BV\BV Perth\AQ0079 Demag-Coil"/>
  </r>
  <r>
    <x v="174"/>
    <x v="6"/>
    <x v="85"/>
    <s v="Tramp Magnet and Metal Detector"/>
    <x v="2"/>
    <s v="Hematite"/>
    <m/>
    <x v="3"/>
    <m/>
    <m/>
    <m/>
    <m/>
    <m/>
    <s v="AQ0080 Tramp Magnet and Metal Detector"/>
    <s v="C:\Users\wubia\OneDrive - Longi Magnet Australia Pty ltd\Documents - Longi Australia\03 Project Management\Client\FMG\Dragon\AQ0080 Tramp Magnet and Metal Detector"/>
  </r>
  <r>
    <x v="175"/>
    <x v="2"/>
    <x v="4"/>
    <s v="CY25 LJC Testwork"/>
    <x v="0"/>
    <s v="Magnetite"/>
    <m/>
    <x v="3"/>
    <m/>
    <m/>
    <m/>
    <m/>
    <m/>
    <s v="AT0055 CY25 LJC Testwork"/>
    <s v="C:\Users\wubia\OneDrive - Longi Magnet Australia Pty ltd\Documents - Longi Australia\03 Project Management\Client\Grange\Savage River\AT0055 CY25 LJC Testwork"/>
  </r>
  <r>
    <x v="176"/>
    <x v="10"/>
    <x v="13"/>
    <s v="Second batch magnetite Testowrk"/>
    <x v="0"/>
    <s v="Magnetite"/>
    <m/>
    <x v="2"/>
    <m/>
    <m/>
    <m/>
    <m/>
    <m/>
    <s v="AT0056 Second batch magnetite Testowrk"/>
    <s v="C:\Users\wubia\OneDrive - Longi Magnet Australia Pty ltd\Documents - Longi Australia\03 Project Management\Client\Young_Steel\Snaefell\AT0056 Second batch magnetite Testowrk"/>
  </r>
  <r>
    <x v="177"/>
    <x v="10"/>
    <x v="57"/>
    <s v="Leejun HPGR product"/>
    <x v="0"/>
    <s v="Magnetite"/>
    <m/>
    <x v="2"/>
    <m/>
    <m/>
    <m/>
    <m/>
    <m/>
    <s v="AT0057 Leejun HPGR product"/>
    <s v="C:\Users\wubia\OneDrive - Longi Magnet Australia Pty ltd\Documents - Longi Australia\03 Project Management\Client\Young_Steel\Snaefell\AT0057 Leejun HPGR product"/>
  </r>
  <r>
    <x v="178"/>
    <x v="37"/>
    <x v="86"/>
    <s v="Upgrade Tramp Magnets Assembly Binduli"/>
    <x v="2"/>
    <s v="Others"/>
    <m/>
    <x v="1"/>
    <m/>
    <m/>
    <m/>
    <m/>
    <m/>
    <s v="AQ0081 Upgrade Tramp Magnets Assembly Binduli"/>
    <s v="C:\Users\wubia\OneDrive - Longi Magnet Australia Pty ltd\Documents - Longi Australia\03 Project Management\Client\Norton\Binduli\AQ0081 Upgrade Tramp Magnets Assembly Binduli"/>
  </r>
  <r>
    <x v="179"/>
    <x v="37"/>
    <x v="86"/>
    <s v="One-off Discount to Support MG201 Replacement"/>
    <x v="2"/>
    <s v="Others"/>
    <m/>
    <x v="1"/>
    <m/>
    <m/>
    <m/>
    <m/>
    <m/>
    <s v="AQ0082 One-off Discount to Support MG201 Replacement"/>
    <s v="C:\Users\wubia\OneDrive - Longi Magnet Australia Pty ltd\Documents - Longi Australia\03 Project Management\Client\Norton\Binduli\AQ0082 One-off Discount to Support MG201 Replacement"/>
  </r>
  <r>
    <x v="180"/>
    <x v="60"/>
    <x v="31"/>
    <s v=" DMS Replacement Unit"/>
    <x v="2"/>
    <s v="Magnetite"/>
    <m/>
    <x v="3"/>
    <m/>
    <m/>
    <m/>
    <m/>
    <m/>
    <s v="AQ0083  DMS Replacement Unit"/>
    <s v="C:\Users\wubia\OneDrive - Longi Magnet Australia Pty ltd\Documents - Longi Australia\03 Project Management\Client\Terra_mining\Extension Hill\AQ0083  DMS Replacement Unit"/>
  </r>
  <r>
    <x v="181"/>
    <x v="60"/>
    <x v="31"/>
    <s v=" Second DMS Modular Plant (DMS Assembly &amp; Platform)"/>
    <x v="2"/>
    <s v="Magnetite"/>
    <m/>
    <x v="3"/>
    <m/>
    <m/>
    <m/>
    <m/>
    <m/>
    <s v="AQ0084  Second DMS Modular Plant (DMS Assembly &amp; Platform)"/>
    <s v="C:\Users\wubia\OneDrive - Longi Magnet Australia Pty ltd\Documents - Longi Australia\03 Project Management\Client\Terra_mining\Extension Hill\AQ0084  Second DMS Modular Plant (DMS Assembly &amp; Platform)"/>
  </r>
  <r>
    <x v="182"/>
    <x v="63"/>
    <x v="87"/>
    <s v="Metallurgical Testworks"/>
    <x v="0"/>
    <s v="Minral Sand"/>
    <m/>
    <x v="2"/>
    <m/>
    <m/>
    <m/>
    <m/>
    <m/>
    <s v="AT0058 Metallurgical Testworks"/>
    <s v="C:\Users\wubia\OneDrive - Longi Magnet Australia Pty ltd\Documents - Longi Australia\03 Project Management\Client\HY_Mineral\Momo\AT0058 Metallurgical Testworks"/>
  </r>
  <r>
    <x v="183"/>
    <x v="64"/>
    <x v="88"/>
    <s v="828 - Tramp Metal Magnet"/>
    <x v="2"/>
    <s v="Others"/>
    <m/>
    <x v="3"/>
    <m/>
    <m/>
    <m/>
    <m/>
    <m/>
    <s v="AQ0085 828 - Tramp Metal Magnet"/>
    <s v="C:\Users\wubia\OneDrive - Longi Magnet Australia Pty ltd\Documents - Longi Australia\03 Project Management\Client\Capricorn_Metals\Karlawinda Expansion\AQ0085 828 - Tramp Metal Magnet"/>
  </r>
  <r>
    <x v="184"/>
    <x v="60"/>
    <x v="31"/>
    <s v="Dry Mag Separation Platform(batch 2)"/>
    <x v="2"/>
    <s v="Magnetite"/>
    <m/>
    <x v="3"/>
    <m/>
    <m/>
    <m/>
    <m/>
    <m/>
    <s v="AQ0086 Dry Mag Separation Platform(batch 2)"/>
    <s v="C:\Users\wubia\OneDrive - Longi Magnet Australia Pty ltd\Documents - Longi Australia\03 Project Management\Client\Terra_mining\Extension Hill\AQ0086 Dry Mag Separation Platform(batch 2)"/>
  </r>
  <r>
    <x v="185"/>
    <x v="27"/>
    <x v="38"/>
    <s v="Jaw Crusher Operation Platform"/>
    <x v="2"/>
    <s v="Others"/>
    <m/>
    <x v="2"/>
    <m/>
    <m/>
    <m/>
    <m/>
    <m/>
    <s v="AQ0087 Jaw Crusher Operation Platform"/>
    <s v="C:\Users\wubia\OneDrive - Longi Magnet Australia Pty ltd\Documents - Longi Australia\03 Project Management\Client\BV\BV Perth\AQ0087 Jaw Crusher Operation Platform"/>
  </r>
  <r>
    <x v="186"/>
    <x v="65"/>
    <x v="89"/>
    <s v="Recycling plant RCY-C65  Belt Magnet"/>
    <x v="2"/>
    <s v="Others"/>
    <m/>
    <x v="3"/>
    <m/>
    <m/>
    <m/>
    <m/>
    <m/>
    <s v="AQ0088 Recycling plant RCY-C65  Belt Magnet"/>
    <s v="C:\Users\wubia\OneDrive - Longi Magnet Australia Pty ltd\Documents - Longi Australia\03 Project Management\Client\YINGHUI_INTERNATIONAL\Recycling  belt magnet\AQ0088 Recycling plant RCY-C65  Belt Magnet"/>
  </r>
  <r>
    <x v="187"/>
    <x v="8"/>
    <x v="10"/>
    <s v="CGP3 2025"/>
    <x v="3"/>
    <s v="Lithium"/>
    <m/>
    <x v="0"/>
    <s v="AP0005-001"/>
    <n v="45347"/>
    <n v="45347"/>
    <s v="Waiting for order"/>
    <m/>
    <s v="AP0004 CGP3 2025"/>
    <s v="C:\Users\wubia\OneDrive - Longi Magnet Australia Pty ltd\Documents - Longi Australia\03 Project Management\Client\Talison\Greenbush\AP0004 CGP3 2025"/>
  </r>
  <r>
    <x v="188"/>
    <x v="37"/>
    <x v="86"/>
    <s v="General Service"/>
    <x v="4"/>
    <s v="Others"/>
    <m/>
    <x v="1"/>
    <m/>
    <m/>
    <m/>
    <m/>
    <m/>
    <s v="AS0013 General Service"/>
    <s v="C:\Users\wubia\OneDrive - Longi Magnet Australia Pty ltd\Documents - Longi Australia\03 Project Management\Client\Norton\Binduli\AS0013 General Service"/>
  </r>
  <r>
    <x v="189"/>
    <x v="60"/>
    <x v="31"/>
    <s v="3rd DMS Unit"/>
    <x v="2"/>
    <s v="Magnetite"/>
    <m/>
    <x v="3"/>
    <m/>
    <m/>
    <m/>
    <m/>
    <m/>
    <s v="AQ0089 3rd DMS Unit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s v=" "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  <r>
    <x v="190"/>
    <x v="66"/>
    <x v="90"/>
    <m/>
    <x v="5"/>
    <m/>
    <m/>
    <x v="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D0FA61-B990-45B9-BF93-9892F67A5309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Job Number">
  <location ref="A6:B8" firstHeaderRow="1" firstDataRow="1" firstDataCol="1" rowPageCount="4" colPageCount="1"/>
  <pivotFields count="15">
    <pivotField axis="axisRow" showAll="0">
      <items count="192">
        <item x="190"/>
        <item x="1"/>
        <item x="2"/>
        <item x="3"/>
        <item x="16"/>
        <item x="17"/>
        <item x="18"/>
        <item x="25"/>
        <item x="26"/>
        <item x="39"/>
        <item x="40"/>
        <item x="29"/>
        <item x="4"/>
        <item x="6"/>
        <item x="7"/>
        <item x="8"/>
        <item x="9"/>
        <item x="10"/>
        <item x="11"/>
        <item x="12"/>
        <item x="13"/>
        <item x="14"/>
        <item x="15"/>
        <item x="22"/>
        <item x="23"/>
        <item x="32"/>
        <item x="36"/>
        <item x="37"/>
        <item x="41"/>
        <item x="33"/>
        <item x="0"/>
        <item x="5"/>
        <item x="19"/>
        <item x="20"/>
        <item x="21"/>
        <item x="24"/>
        <item x="27"/>
        <item x="28"/>
        <item x="30"/>
        <item x="31"/>
        <item x="34"/>
        <item x="35"/>
        <item x="38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axis="axisPage" showAll="0">
      <items count="68">
        <item x="13"/>
        <item x="9"/>
        <item x="18"/>
        <item x="6"/>
        <item x="4"/>
        <item x="2"/>
        <item x="0"/>
        <item x="20"/>
        <item x="5"/>
        <item x="11"/>
        <item x="12"/>
        <item x="19"/>
        <item x="7"/>
        <item x="14"/>
        <item x="3"/>
        <item x="16"/>
        <item x="1"/>
        <item x="8"/>
        <item x="15"/>
        <item x="17"/>
        <item x="10"/>
        <item x="6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t="default"/>
      </items>
    </pivotField>
    <pivotField axis="axisPage" showAll="0">
      <items count="92">
        <item x="15"/>
        <item x="29"/>
        <item x="17"/>
        <item x="19"/>
        <item x="18"/>
        <item x="16"/>
        <item x="10"/>
        <item x="24"/>
        <item x="21"/>
        <item x="8"/>
        <item x="30"/>
        <item x="28"/>
        <item x="7"/>
        <item x="6"/>
        <item x="1"/>
        <item x="2"/>
        <item x="3"/>
        <item x="27"/>
        <item x="0"/>
        <item x="23"/>
        <item x="26"/>
        <item x="5"/>
        <item x="11"/>
        <item x="4"/>
        <item x="13"/>
        <item x="20"/>
        <item x="14"/>
        <item x="22"/>
        <item x="12"/>
        <item x="25"/>
        <item x="9"/>
        <item x="9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  <pivotField dataField="1" showAll="0"/>
    <pivotField axis="axisPage" showAll="0">
      <items count="7">
        <item x="1"/>
        <item x="3"/>
        <item x="2"/>
        <item x="4"/>
        <item x="0"/>
        <item x="5"/>
        <item t="default"/>
      </items>
    </pivotField>
    <pivotField showAll="0"/>
    <pivotField showAll="0"/>
    <pivotField axis="axisPage" showAll="0">
      <items count="8">
        <item x="1"/>
        <item x="0"/>
        <item x="4"/>
        <item x="5"/>
        <item x="2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27"/>
    </i>
    <i t="grand">
      <x/>
    </i>
  </rowItems>
  <colItems count="1">
    <i/>
  </colItems>
  <pageFields count="4">
    <pageField fld="7" hier="-1"/>
    <pageField fld="4" item="2" hier="-1"/>
    <pageField fld="1" item="2" hier="-1"/>
    <pageField fld="2" hier="-1"/>
  </pageFields>
  <dataFields count="1">
    <dataField name="Count of Project" fld="3" subtotal="count" baseField="0" baseItem="0"/>
  </dataFields>
  <formats count="36">
    <format dxfId="215">
      <pivotArea outline="0" collapsedLevelsAreSubtotals="1" fieldPosition="0"/>
    </format>
    <format dxfId="214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213">
      <pivotArea dataOnly="0" labelOnly="1" grandRow="1" outline="0" fieldPosition="0"/>
    </format>
    <format dxfId="212">
      <pivotArea outline="0" collapsedLevelsAreSubtotals="1" fieldPosition="0"/>
    </format>
    <format dxfId="211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210">
      <pivotArea dataOnly="0" labelOnly="1" grandRow="1" outline="0" fieldPosition="0"/>
    </format>
    <format dxfId="209">
      <pivotArea field="0" type="button" dataOnly="0" labelOnly="1" outline="0" axis="axisRow" fieldPosition="0"/>
    </format>
    <format dxfId="208">
      <pivotArea dataOnly="0" labelOnly="1" outline="0" axis="axisValues" fieldPosition="0"/>
    </format>
    <format dxfId="207">
      <pivotArea field="0" type="button" dataOnly="0" labelOnly="1" outline="0" axis="axisRow" fieldPosition="0"/>
    </format>
    <format dxfId="206">
      <pivotArea dataOnly="0" labelOnly="1" outline="0" axis="axisValues" fieldPosition="0"/>
    </format>
    <format dxfId="205">
      <pivotArea field="0" type="button" dataOnly="0" labelOnly="1" outline="0" axis="axisRow" fieldPosition="0"/>
    </format>
    <format dxfId="204">
      <pivotArea dataOnly="0" labelOnly="1" outline="0" axis="axisValues" fieldPosition="0"/>
    </format>
    <format dxfId="203">
      <pivotArea field="0" type="button" dataOnly="0" labelOnly="1" outline="0" axis="axisRow" fieldPosition="0"/>
    </format>
    <format dxfId="202">
      <pivotArea dataOnly="0" labelOnly="1" outline="0" axis="axisValues" fieldPosition="0"/>
    </format>
    <format dxfId="201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200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99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98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97">
      <pivotArea type="all" dataOnly="0" outline="0" fieldPosition="0"/>
    </format>
    <format dxfId="196">
      <pivotArea outline="0" collapsedLevelsAreSubtotals="1" fieldPosition="0"/>
    </format>
    <format dxfId="195">
      <pivotArea field="0" type="button" dataOnly="0" labelOnly="1" outline="0" axis="axisRow" fieldPosition="0"/>
    </format>
    <format dxfId="194">
      <pivotArea dataOnly="0" labelOnly="1" fieldPosition="0">
        <references count="1">
          <reference field="0" count="0"/>
        </references>
      </pivotArea>
    </format>
    <format dxfId="193">
      <pivotArea dataOnly="0" labelOnly="1" grandRow="1" outline="0" fieldPosition="0"/>
    </format>
    <format dxfId="192">
      <pivotArea dataOnly="0" labelOnly="1" outline="0" axis="axisValues" fieldPosition="0"/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field="0" type="button" dataOnly="0" labelOnly="1" outline="0" axis="axisRow" fieldPosition="0"/>
    </format>
    <format dxfId="188">
      <pivotArea dataOnly="0" labelOnly="1" fieldPosition="0">
        <references count="1">
          <reference field="0" count="0"/>
        </references>
      </pivotArea>
    </format>
    <format dxfId="187">
      <pivotArea dataOnly="0" labelOnly="1" grandRow="1" outline="0" fieldPosition="0"/>
    </format>
    <format dxfId="186">
      <pivotArea dataOnly="0" labelOnly="1" outline="0" axis="axisValues" fieldPosition="0"/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field="0" type="button" dataOnly="0" labelOnly="1" outline="0" axis="axisRow" fieldPosition="0"/>
    </format>
    <format dxfId="182">
      <pivotArea dataOnly="0" labelOnly="1" fieldPosition="0">
        <references count="1">
          <reference field="0" count="0"/>
        </references>
      </pivotArea>
    </format>
    <format dxfId="181">
      <pivotArea dataOnly="0" labelOnly="1" grandRow="1" outline="0" fieldPosition="0"/>
    </format>
    <format dxfId="18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9BAB0-3E06-4726-99E9-7E0FB77DC4E5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Job Number">
  <location ref="A6:B30" firstHeaderRow="1" firstDataRow="1" firstDataCol="1" rowPageCount="4" colPageCount="1"/>
  <pivotFields count="15">
    <pivotField axis="axisRow" showAll="0">
      <items count="192">
        <item x="190"/>
        <item x="1"/>
        <item x="2"/>
        <item x="3"/>
        <item x="16"/>
        <item x="17"/>
        <item x="18"/>
        <item x="25"/>
        <item x="26"/>
        <item x="39"/>
        <item x="40"/>
        <item x="29"/>
        <item x="4"/>
        <item x="6"/>
        <item x="7"/>
        <item x="8"/>
        <item x="9"/>
        <item x="10"/>
        <item x="11"/>
        <item x="12"/>
        <item x="13"/>
        <item x="14"/>
        <item x="15"/>
        <item x="22"/>
        <item x="23"/>
        <item x="32"/>
        <item x="36"/>
        <item x="37"/>
        <item x="41"/>
        <item x="33"/>
        <item x="0"/>
        <item x="5"/>
        <item x="19"/>
        <item x="20"/>
        <item x="21"/>
        <item x="24"/>
        <item x="27"/>
        <item x="28"/>
        <item x="30"/>
        <item x="31"/>
        <item x="34"/>
        <item x="35"/>
        <item x="38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axis="axisPage" showAll="0">
      <items count="68">
        <item x="13"/>
        <item x="9"/>
        <item x="18"/>
        <item x="6"/>
        <item x="4"/>
        <item x="2"/>
        <item x="0"/>
        <item x="20"/>
        <item x="5"/>
        <item x="11"/>
        <item x="12"/>
        <item x="19"/>
        <item x="7"/>
        <item x="14"/>
        <item x="3"/>
        <item x="16"/>
        <item x="1"/>
        <item x="8"/>
        <item x="15"/>
        <item x="17"/>
        <item x="10"/>
        <item x="6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t="default"/>
      </items>
    </pivotField>
    <pivotField axis="axisPage" showAll="0">
      <items count="92">
        <item x="15"/>
        <item x="29"/>
        <item x="17"/>
        <item x="19"/>
        <item x="18"/>
        <item x="16"/>
        <item x="10"/>
        <item x="24"/>
        <item x="21"/>
        <item x="8"/>
        <item x="30"/>
        <item x="28"/>
        <item x="7"/>
        <item x="6"/>
        <item x="1"/>
        <item x="2"/>
        <item x="3"/>
        <item x="27"/>
        <item x="0"/>
        <item x="23"/>
        <item x="26"/>
        <item x="5"/>
        <item x="11"/>
        <item x="4"/>
        <item x="13"/>
        <item x="20"/>
        <item x="14"/>
        <item x="22"/>
        <item x="12"/>
        <item x="25"/>
        <item x="9"/>
        <item x="9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  <pivotField dataField="1" showAll="0"/>
    <pivotField axis="axisPage" showAll="0">
      <items count="7">
        <item x="1"/>
        <item x="3"/>
        <item x="2"/>
        <item x="4"/>
        <item x="0"/>
        <item x="5"/>
        <item t="default"/>
      </items>
    </pivotField>
    <pivotField showAll="0"/>
    <pivotField showAll="0"/>
    <pivotField axis="axisPage" showAll="0">
      <items count="8">
        <item x="1"/>
        <item x="0"/>
        <item x="4"/>
        <item x="5"/>
        <item x="2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">
    <i>
      <x v="17"/>
    </i>
    <i>
      <x v="29"/>
    </i>
    <i>
      <x v="52"/>
    </i>
    <i>
      <x v="57"/>
    </i>
    <i>
      <x v="59"/>
    </i>
    <i>
      <x v="62"/>
    </i>
    <i>
      <x v="76"/>
    </i>
    <i>
      <x v="78"/>
    </i>
    <i>
      <x v="80"/>
    </i>
    <i>
      <x v="81"/>
    </i>
    <i>
      <x v="91"/>
    </i>
    <i>
      <x v="105"/>
    </i>
    <i>
      <x v="116"/>
    </i>
    <i>
      <x v="127"/>
    </i>
    <i>
      <x v="129"/>
    </i>
    <i>
      <x v="130"/>
    </i>
    <i>
      <x v="131"/>
    </i>
    <i>
      <x v="134"/>
    </i>
    <i>
      <x v="137"/>
    </i>
    <i>
      <x v="140"/>
    </i>
    <i>
      <x v="144"/>
    </i>
    <i>
      <x v="159"/>
    </i>
    <i>
      <x v="172"/>
    </i>
    <i t="grand">
      <x/>
    </i>
  </rowItems>
  <colItems count="1">
    <i/>
  </colItems>
  <pageFields count="4">
    <pageField fld="7" hier="-1"/>
    <pageField fld="4" hier="-1"/>
    <pageField fld="1" item="12" hier="-1"/>
    <pageField fld="2" hier="-1"/>
  </pageFields>
  <dataFields count="1">
    <dataField name="Count of Project" fld="3" subtotal="count" baseField="0" baseItem="0"/>
  </dataFields>
  <formats count="36">
    <format dxfId="179">
      <pivotArea outline="0" collapsedLevelsAreSubtotals="1" fieldPosition="0"/>
    </format>
    <format dxfId="178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77">
      <pivotArea dataOnly="0" labelOnly="1" grandRow="1" outline="0" fieldPosition="0"/>
    </format>
    <format dxfId="176">
      <pivotArea outline="0" collapsedLevelsAreSubtotals="1" fieldPosition="0"/>
    </format>
    <format dxfId="175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74">
      <pivotArea dataOnly="0" labelOnly="1" grandRow="1" outline="0" fieldPosition="0"/>
    </format>
    <format dxfId="173">
      <pivotArea field="0" type="button" dataOnly="0" labelOnly="1" outline="0" axis="axisRow" fieldPosition="0"/>
    </format>
    <format dxfId="172">
      <pivotArea dataOnly="0" labelOnly="1" outline="0" axis="axisValues" fieldPosition="0"/>
    </format>
    <format dxfId="171">
      <pivotArea field="0" type="button" dataOnly="0" labelOnly="1" outline="0" axis="axisRow" fieldPosition="0"/>
    </format>
    <format dxfId="170">
      <pivotArea dataOnly="0" labelOnly="1" outline="0" axis="axisValues" fieldPosition="0"/>
    </format>
    <format dxfId="169">
      <pivotArea field="0" type="button" dataOnly="0" labelOnly="1" outline="0" axis="axisRow" fieldPosition="0"/>
    </format>
    <format dxfId="168">
      <pivotArea dataOnly="0" labelOnly="1" outline="0" axis="axisValues" fieldPosition="0"/>
    </format>
    <format dxfId="167">
      <pivotArea field="0" type="button" dataOnly="0" labelOnly="1" outline="0" axis="axisRow" fieldPosition="0"/>
    </format>
    <format dxfId="166">
      <pivotArea dataOnly="0" labelOnly="1" outline="0" axis="axisValues" fieldPosition="0"/>
    </format>
    <format dxfId="165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64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63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62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0" type="button" dataOnly="0" labelOnly="1" outline="0" axis="axisRow" fieldPosition="0"/>
    </format>
    <format dxfId="158">
      <pivotArea dataOnly="0" labelOnly="1" fieldPosition="0">
        <references count="1">
          <reference field="0" count="0"/>
        </references>
      </pivotArea>
    </format>
    <format dxfId="157">
      <pivotArea dataOnly="0" labelOnly="1" grandRow="1" outline="0" fieldPosition="0"/>
    </format>
    <format dxfId="156">
      <pivotArea dataOnly="0" labelOnly="1" outline="0" axis="axisValues" fieldPosition="0"/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field="0" type="button" dataOnly="0" labelOnly="1" outline="0" axis="axisRow" fieldPosition="0"/>
    </format>
    <format dxfId="152">
      <pivotArea dataOnly="0" labelOnly="1" fieldPosition="0">
        <references count="1">
          <reference field="0" count="0"/>
        </references>
      </pivotArea>
    </format>
    <format dxfId="151">
      <pivotArea dataOnly="0" labelOnly="1" grandRow="1" outline="0" fieldPosition="0"/>
    </format>
    <format dxfId="150">
      <pivotArea dataOnly="0" labelOnly="1" outline="0" axis="axisValues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  <format dxfId="14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1CD948-3C25-4FEB-B45D-6CC30079CDB9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Job Number">
  <location ref="A6:B52" firstHeaderRow="1" firstDataRow="1" firstDataCol="1" rowPageCount="4" colPageCount="1"/>
  <pivotFields count="15">
    <pivotField axis="axisRow" showAll="0">
      <items count="192">
        <item x="190"/>
        <item x="1"/>
        <item x="2"/>
        <item x="3"/>
        <item x="16"/>
        <item x="17"/>
        <item x="18"/>
        <item x="25"/>
        <item x="26"/>
        <item x="39"/>
        <item x="40"/>
        <item x="29"/>
        <item x="4"/>
        <item x="6"/>
        <item x="7"/>
        <item x="8"/>
        <item x="9"/>
        <item x="10"/>
        <item x="11"/>
        <item x="12"/>
        <item x="13"/>
        <item x="14"/>
        <item x="15"/>
        <item x="22"/>
        <item x="23"/>
        <item x="32"/>
        <item x="36"/>
        <item x="37"/>
        <item x="41"/>
        <item x="33"/>
        <item x="0"/>
        <item x="5"/>
        <item x="19"/>
        <item x="20"/>
        <item x="21"/>
        <item x="24"/>
        <item x="27"/>
        <item x="28"/>
        <item x="30"/>
        <item x="31"/>
        <item x="34"/>
        <item x="35"/>
        <item x="38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axis="axisPage" showAll="0">
      <items count="68">
        <item x="13"/>
        <item x="9"/>
        <item x="18"/>
        <item x="6"/>
        <item x="4"/>
        <item x="2"/>
        <item x="0"/>
        <item x="20"/>
        <item x="5"/>
        <item x="11"/>
        <item x="12"/>
        <item x="19"/>
        <item x="7"/>
        <item x="14"/>
        <item x="3"/>
        <item x="16"/>
        <item x="1"/>
        <item x="8"/>
        <item x="15"/>
        <item x="17"/>
        <item x="10"/>
        <item x="6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t="default"/>
      </items>
    </pivotField>
    <pivotField axis="axisPage" showAll="0">
      <items count="92">
        <item x="15"/>
        <item x="29"/>
        <item x="17"/>
        <item x="19"/>
        <item x="18"/>
        <item x="16"/>
        <item x="10"/>
        <item x="24"/>
        <item x="21"/>
        <item x="8"/>
        <item x="30"/>
        <item x="28"/>
        <item x="7"/>
        <item x="6"/>
        <item x="1"/>
        <item x="2"/>
        <item x="3"/>
        <item x="27"/>
        <item x="0"/>
        <item x="23"/>
        <item x="26"/>
        <item x="5"/>
        <item x="11"/>
        <item x="4"/>
        <item x="13"/>
        <item x="20"/>
        <item x="14"/>
        <item x="22"/>
        <item x="12"/>
        <item x="25"/>
        <item x="9"/>
        <item x="9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  <pivotField dataField="1" showAll="0"/>
    <pivotField axis="axisPage" showAll="0">
      <items count="7">
        <item x="1"/>
        <item x="3"/>
        <item x="2"/>
        <item x="4"/>
        <item x="0"/>
        <item x="5"/>
        <item t="default"/>
      </items>
    </pivotField>
    <pivotField showAll="0"/>
    <pivotField showAll="0"/>
    <pivotField axis="axisPage" showAll="0">
      <items count="8">
        <item x="1"/>
        <item x="0"/>
        <item x="4"/>
        <item x="5"/>
        <item x="2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6">
    <i>
      <x v="1"/>
    </i>
    <i>
      <x v="2"/>
    </i>
    <i>
      <x v="3"/>
    </i>
    <i>
      <x v="6"/>
    </i>
    <i>
      <x v="8"/>
    </i>
    <i>
      <x v="11"/>
    </i>
    <i>
      <x v="12"/>
    </i>
    <i>
      <x v="14"/>
    </i>
    <i>
      <x v="15"/>
    </i>
    <i>
      <x v="16"/>
    </i>
    <i>
      <x v="19"/>
    </i>
    <i>
      <x v="20"/>
    </i>
    <i>
      <x v="23"/>
    </i>
    <i>
      <x v="24"/>
    </i>
    <i>
      <x v="25"/>
    </i>
    <i>
      <x v="31"/>
    </i>
    <i>
      <x v="35"/>
    </i>
    <i>
      <x v="36"/>
    </i>
    <i>
      <x v="37"/>
    </i>
    <i>
      <x v="38"/>
    </i>
    <i>
      <x v="39"/>
    </i>
    <i>
      <x v="43"/>
    </i>
    <i>
      <x v="46"/>
    </i>
    <i>
      <x v="47"/>
    </i>
    <i>
      <x v="63"/>
    </i>
    <i>
      <x v="71"/>
    </i>
    <i>
      <x v="72"/>
    </i>
    <i>
      <x v="79"/>
    </i>
    <i>
      <x v="82"/>
    </i>
    <i>
      <x v="93"/>
    </i>
    <i>
      <x v="94"/>
    </i>
    <i>
      <x v="97"/>
    </i>
    <i>
      <x v="99"/>
    </i>
    <i>
      <x v="101"/>
    </i>
    <i>
      <x v="109"/>
    </i>
    <i>
      <x v="110"/>
    </i>
    <i>
      <x v="113"/>
    </i>
    <i>
      <x v="136"/>
    </i>
    <i>
      <x v="154"/>
    </i>
    <i>
      <x v="155"/>
    </i>
    <i>
      <x v="164"/>
    </i>
    <i>
      <x v="165"/>
    </i>
    <i>
      <x v="179"/>
    </i>
    <i>
      <x v="180"/>
    </i>
    <i>
      <x v="189"/>
    </i>
    <i t="grand">
      <x/>
    </i>
  </rowItems>
  <colItems count="1">
    <i/>
  </colItems>
  <pageFields count="4">
    <pageField fld="7" item="0" hier="-1"/>
    <pageField fld="4" hier="-1"/>
    <pageField fld="1" hier="-1"/>
    <pageField fld="2" hier="-1"/>
  </pageFields>
  <dataFields count="1">
    <dataField name="Count of Project" fld="3" subtotal="count" baseField="0" baseItem="0"/>
  </dataFields>
  <formats count="36">
    <format dxfId="143">
      <pivotArea outline="0" collapsedLevelsAreSubtotals="1" fieldPosition="0"/>
    </format>
    <format dxfId="142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41">
      <pivotArea dataOnly="0" labelOnly="1" grandRow="1" outline="0" fieldPosition="0"/>
    </format>
    <format dxfId="140">
      <pivotArea outline="0" collapsedLevelsAreSubtotals="1" fieldPosition="0"/>
    </format>
    <format dxfId="139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38">
      <pivotArea dataOnly="0" labelOnly="1" grandRow="1" outline="0" fieldPosition="0"/>
    </format>
    <format dxfId="137">
      <pivotArea field="0" type="button" dataOnly="0" labelOnly="1" outline="0" axis="axisRow" fieldPosition="0"/>
    </format>
    <format dxfId="136">
      <pivotArea dataOnly="0" labelOnly="1" outline="0" axis="axisValues" fieldPosition="0"/>
    </format>
    <format dxfId="135">
      <pivotArea field="0" type="button" dataOnly="0" labelOnly="1" outline="0" axis="axisRow" fieldPosition="0"/>
    </format>
    <format dxfId="134">
      <pivotArea dataOnly="0" labelOnly="1" outline="0" axis="axisValues" fieldPosition="0"/>
    </format>
    <format dxfId="133">
      <pivotArea field="0" type="button" dataOnly="0" labelOnly="1" outline="0" axis="axisRow" fieldPosition="0"/>
    </format>
    <format dxfId="132">
      <pivotArea dataOnly="0" labelOnly="1" outline="0" axis="axisValues" fieldPosition="0"/>
    </format>
    <format dxfId="131">
      <pivotArea field="0" type="button" dataOnly="0" labelOnly="1" outline="0" axis="axisRow" fieldPosition="0"/>
    </format>
    <format dxfId="130">
      <pivotArea dataOnly="0" labelOnly="1" outline="0" axis="axisValues" fieldPosition="0"/>
    </format>
    <format dxfId="129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28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27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26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grandRow="1" outline="0" fieldPosition="0"/>
    </format>
    <format dxfId="120">
      <pivotArea dataOnly="0" labelOnly="1" outline="0" axis="axisValues" fieldPosition="0"/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0" type="button" dataOnly="0" labelOnly="1" outline="0" axis="axisRow" fieldPosition="0"/>
    </format>
    <format dxfId="116">
      <pivotArea dataOnly="0" labelOnly="1" fieldPosition="0">
        <references count="1">
          <reference field="0" count="0"/>
        </references>
      </pivotArea>
    </format>
    <format dxfId="115">
      <pivotArea dataOnly="0" labelOnly="1" grandRow="1" outline="0" fieldPosition="0"/>
    </format>
    <format dxfId="114">
      <pivotArea dataOnly="0" labelOnly="1" outline="0" axis="axisValues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0" type="button" dataOnly="0" labelOnly="1" outline="0" axis="axisRow" fieldPosition="0"/>
    </format>
    <format dxfId="110">
      <pivotArea dataOnly="0" labelOnly="1" fieldPosition="0">
        <references count="1">
          <reference field="0" count="0"/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01130-9570-4C07-B96A-8CBA32762150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Job Number">
  <location ref="A6:B26" firstHeaderRow="1" firstDataRow="1" firstDataCol="1" rowPageCount="4" colPageCount="1"/>
  <pivotFields count="15">
    <pivotField axis="axisRow" showAll="0">
      <items count="192">
        <item x="190"/>
        <item x="1"/>
        <item x="2"/>
        <item x="3"/>
        <item x="16"/>
        <item x="17"/>
        <item x="18"/>
        <item x="25"/>
        <item x="26"/>
        <item x="39"/>
        <item x="40"/>
        <item x="29"/>
        <item x="4"/>
        <item x="6"/>
        <item x="7"/>
        <item x="8"/>
        <item x="9"/>
        <item x="10"/>
        <item x="11"/>
        <item x="12"/>
        <item x="13"/>
        <item x="14"/>
        <item x="15"/>
        <item x="22"/>
        <item x="23"/>
        <item x="32"/>
        <item x="36"/>
        <item x="37"/>
        <item x="41"/>
        <item x="33"/>
        <item x="0"/>
        <item x="5"/>
        <item x="19"/>
        <item x="20"/>
        <item x="21"/>
        <item x="24"/>
        <item x="27"/>
        <item x="28"/>
        <item x="30"/>
        <item x="31"/>
        <item x="34"/>
        <item x="35"/>
        <item x="38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axis="axisPage" showAll="0">
      <items count="68">
        <item x="13"/>
        <item x="9"/>
        <item x="18"/>
        <item x="6"/>
        <item x="4"/>
        <item x="2"/>
        <item x="0"/>
        <item x="20"/>
        <item x="5"/>
        <item x="11"/>
        <item x="12"/>
        <item x="19"/>
        <item x="7"/>
        <item x="14"/>
        <item x="3"/>
        <item x="16"/>
        <item x="1"/>
        <item x="8"/>
        <item x="15"/>
        <item x="17"/>
        <item x="10"/>
        <item x="6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t="default"/>
      </items>
    </pivotField>
    <pivotField axis="axisPage" showAll="0">
      <items count="92">
        <item x="15"/>
        <item x="29"/>
        <item x="17"/>
        <item x="19"/>
        <item x="18"/>
        <item x="16"/>
        <item x="10"/>
        <item x="24"/>
        <item x="21"/>
        <item x="8"/>
        <item x="30"/>
        <item x="28"/>
        <item x="7"/>
        <item x="6"/>
        <item x="1"/>
        <item x="2"/>
        <item x="3"/>
        <item x="27"/>
        <item x="0"/>
        <item x="23"/>
        <item x="26"/>
        <item x="5"/>
        <item x="11"/>
        <item x="4"/>
        <item x="13"/>
        <item x="20"/>
        <item x="14"/>
        <item x="22"/>
        <item x="12"/>
        <item x="25"/>
        <item x="9"/>
        <item x="9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  <pivotField dataField="1" showAll="0"/>
    <pivotField axis="axisPage" showAll="0">
      <items count="7">
        <item x="1"/>
        <item x="3"/>
        <item x="2"/>
        <item x="4"/>
        <item x="0"/>
        <item x="5"/>
        <item t="default"/>
      </items>
    </pivotField>
    <pivotField showAll="0"/>
    <pivotField showAll="0"/>
    <pivotField axis="axisPage" showAll="0">
      <items count="8">
        <item x="1"/>
        <item x="0"/>
        <item x="4"/>
        <item x="5"/>
        <item x="2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">
    <i>
      <x v="11"/>
    </i>
    <i>
      <x v="16"/>
    </i>
    <i>
      <x v="23"/>
    </i>
    <i>
      <x v="36"/>
    </i>
    <i>
      <x v="37"/>
    </i>
    <i>
      <x v="38"/>
    </i>
    <i>
      <x v="51"/>
    </i>
    <i>
      <x v="69"/>
    </i>
    <i>
      <x v="77"/>
    </i>
    <i>
      <x v="112"/>
    </i>
    <i>
      <x v="113"/>
    </i>
    <i>
      <x v="121"/>
    </i>
    <i>
      <x v="125"/>
    </i>
    <i>
      <x v="126"/>
    </i>
    <i>
      <x v="128"/>
    </i>
    <i>
      <x v="147"/>
    </i>
    <i>
      <x v="148"/>
    </i>
    <i>
      <x v="167"/>
    </i>
    <i>
      <x v="175"/>
    </i>
    <i t="grand">
      <x/>
    </i>
  </rowItems>
  <colItems count="1">
    <i/>
  </colItems>
  <pageFields count="4">
    <pageField fld="7" hier="-1"/>
    <pageField fld="4" hier="-1"/>
    <pageField fld="1" item="3" hier="-1"/>
    <pageField fld="2" hier="-1"/>
  </pageFields>
  <dataFields count="1">
    <dataField name="Count of Project" fld="3" subtotal="count" baseField="0" baseItem="0"/>
  </dataFields>
  <formats count="36">
    <format dxfId="107">
      <pivotArea outline="0" collapsedLevelsAreSubtotals="1" fieldPosition="0"/>
    </format>
    <format dxfId="106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05">
      <pivotArea dataOnly="0" labelOnly="1" grandRow="1" outline="0" fieldPosition="0"/>
    </format>
    <format dxfId="104">
      <pivotArea outline="0" collapsedLevelsAreSubtotals="1" fieldPosition="0"/>
    </format>
    <format dxfId="103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02">
      <pivotArea dataOnly="0" labelOnly="1" grandRow="1" outline="0" fieldPosition="0"/>
    </format>
    <format dxfId="101">
      <pivotArea field="0" type="button" dataOnly="0" labelOnly="1" outline="0" axis="axisRow" fieldPosition="0"/>
    </format>
    <format dxfId="100">
      <pivotArea dataOnly="0" labelOnly="1" outline="0" axis="axisValues" fieldPosition="0"/>
    </format>
    <format dxfId="99">
      <pivotArea field="0" type="button" dataOnly="0" labelOnly="1" outline="0" axis="axisRow" fieldPosition="0"/>
    </format>
    <format dxfId="98">
      <pivotArea dataOnly="0" labelOnly="1" outline="0" axis="axisValues" fieldPosition="0"/>
    </format>
    <format dxfId="97">
      <pivotArea field="0" type="button" dataOnly="0" labelOnly="1" outline="0" axis="axisRow" fieldPosition="0"/>
    </format>
    <format dxfId="96">
      <pivotArea dataOnly="0" labelOnly="1" outline="0" axis="axisValues" fieldPosition="0"/>
    </format>
    <format dxfId="95">
      <pivotArea field="0" type="button" dataOnly="0" labelOnly="1" outline="0" axis="axisRow" fieldPosition="0"/>
    </format>
    <format dxfId="94">
      <pivotArea dataOnly="0" labelOnly="1" outline="0" axis="axisValues" fieldPosition="0"/>
    </format>
    <format dxfId="93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92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91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90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dataOnly="0" labelOnly="1" outline="0" axis="axisValues" fieldPosition="0"/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0" type="button" dataOnly="0" labelOnly="1" outline="0" axis="axisRow" fieldPosition="0"/>
    </format>
    <format dxfId="80">
      <pivotArea dataOnly="0" labelOnly="1" fieldPosition="0">
        <references count="1">
          <reference field="0" count="0"/>
        </references>
      </pivotArea>
    </format>
    <format dxfId="79">
      <pivotArea dataOnly="0" labelOnly="1" grandRow="1" outline="0" fieldPosition="0"/>
    </format>
    <format dxfId="78">
      <pivotArea dataOnly="0" labelOnly="1" outline="0" axis="axisValues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0" type="button" dataOnly="0" labelOnly="1" outline="0" axis="axisRow" fieldPosition="0"/>
    </format>
    <format dxfId="74">
      <pivotArea dataOnly="0" labelOnly="1" fieldPosition="0">
        <references count="1">
          <reference field="0" count="0"/>
        </references>
      </pivotArea>
    </format>
    <format dxfId="73">
      <pivotArea dataOnly="0" labelOnly="1" grandRow="1" outline="0" fieldPosition="0"/>
    </format>
    <format dxfId="72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B5548-A4B1-4A59-853C-6939886D92D5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Job Number">
  <location ref="A6:B96" firstHeaderRow="1" firstDataRow="1" firstDataCol="1" rowPageCount="4" colPageCount="1"/>
  <pivotFields count="15">
    <pivotField axis="axisRow" showAll="0">
      <items count="192">
        <item x="190"/>
        <item x="1"/>
        <item x="2"/>
        <item x="3"/>
        <item x="16"/>
        <item x="17"/>
        <item x="18"/>
        <item x="25"/>
        <item x="26"/>
        <item x="39"/>
        <item x="40"/>
        <item x="29"/>
        <item x="4"/>
        <item x="6"/>
        <item x="7"/>
        <item x="8"/>
        <item x="9"/>
        <item x="10"/>
        <item x="11"/>
        <item x="12"/>
        <item x="13"/>
        <item x="14"/>
        <item x="15"/>
        <item x="22"/>
        <item x="23"/>
        <item x="32"/>
        <item x="36"/>
        <item x="37"/>
        <item x="41"/>
        <item x="33"/>
        <item x="0"/>
        <item x="5"/>
        <item x="19"/>
        <item x="20"/>
        <item x="21"/>
        <item x="24"/>
        <item x="27"/>
        <item x="28"/>
        <item x="30"/>
        <item x="31"/>
        <item x="34"/>
        <item x="35"/>
        <item x="38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axis="axisPage" showAll="0">
      <items count="68">
        <item x="13"/>
        <item x="9"/>
        <item x="18"/>
        <item x="6"/>
        <item x="4"/>
        <item x="2"/>
        <item x="0"/>
        <item x="20"/>
        <item x="5"/>
        <item x="11"/>
        <item x="12"/>
        <item x="19"/>
        <item x="7"/>
        <item x="14"/>
        <item x="3"/>
        <item x="16"/>
        <item x="1"/>
        <item x="8"/>
        <item x="15"/>
        <item x="17"/>
        <item x="10"/>
        <item x="6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t="default"/>
      </items>
    </pivotField>
    <pivotField axis="axisPage" showAll="0">
      <items count="92">
        <item x="15"/>
        <item x="29"/>
        <item x="17"/>
        <item x="19"/>
        <item x="18"/>
        <item x="16"/>
        <item x="10"/>
        <item x="24"/>
        <item x="21"/>
        <item x="8"/>
        <item x="30"/>
        <item x="28"/>
        <item x="7"/>
        <item x="6"/>
        <item x="1"/>
        <item x="2"/>
        <item x="3"/>
        <item x="27"/>
        <item x="0"/>
        <item x="23"/>
        <item x="26"/>
        <item x="5"/>
        <item x="11"/>
        <item x="4"/>
        <item x="13"/>
        <item x="20"/>
        <item x="14"/>
        <item x="22"/>
        <item x="12"/>
        <item x="25"/>
        <item x="9"/>
        <item x="9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  <pivotField dataField="1" showAll="0"/>
    <pivotField axis="axisPage" showAll="0">
      <items count="7">
        <item x="1"/>
        <item x="3"/>
        <item x="2"/>
        <item x="4"/>
        <item x="0"/>
        <item x="5"/>
        <item t="default"/>
      </items>
    </pivotField>
    <pivotField showAll="0"/>
    <pivotField showAll="0"/>
    <pivotField axis="axisPage" showAll="0">
      <items count="8">
        <item x="1"/>
        <item x="0"/>
        <item x="4"/>
        <item x="5"/>
        <item x="2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0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43"/>
    </i>
    <i>
      <x v="47"/>
    </i>
    <i>
      <x v="50"/>
    </i>
    <i>
      <x v="51"/>
    </i>
    <i>
      <x v="52"/>
    </i>
    <i>
      <x v="53"/>
    </i>
    <i>
      <x v="60"/>
    </i>
    <i>
      <x v="62"/>
    </i>
    <i>
      <x v="63"/>
    </i>
    <i>
      <x v="64"/>
    </i>
    <i>
      <x v="72"/>
    </i>
    <i>
      <x v="76"/>
    </i>
    <i>
      <x v="77"/>
    </i>
    <i>
      <x v="78"/>
    </i>
    <i>
      <x v="79"/>
    </i>
    <i>
      <x v="81"/>
    </i>
    <i>
      <x v="84"/>
    </i>
    <i>
      <x v="86"/>
    </i>
    <i>
      <x v="89"/>
    </i>
    <i>
      <x v="93"/>
    </i>
    <i>
      <x v="94"/>
    </i>
    <i>
      <x v="95"/>
    </i>
    <i>
      <x v="96"/>
    </i>
    <i>
      <x v="97"/>
    </i>
    <i>
      <x v="99"/>
    </i>
    <i>
      <x v="102"/>
    </i>
    <i>
      <x v="103"/>
    </i>
    <i>
      <x v="104"/>
    </i>
    <i>
      <x v="107"/>
    </i>
    <i>
      <x v="109"/>
    </i>
    <i>
      <x v="110"/>
    </i>
    <i>
      <x v="112"/>
    </i>
    <i>
      <x v="113"/>
    </i>
    <i>
      <x v="116"/>
    </i>
    <i>
      <x v="123"/>
    </i>
    <i>
      <x v="126"/>
    </i>
    <i>
      <x v="129"/>
    </i>
    <i>
      <x v="130"/>
    </i>
    <i>
      <x v="131"/>
    </i>
    <i>
      <x v="134"/>
    </i>
    <i>
      <x v="136"/>
    </i>
    <i>
      <x v="139"/>
    </i>
    <i>
      <x v="140"/>
    </i>
    <i>
      <x v="143"/>
    </i>
    <i>
      <x v="144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5"/>
    </i>
    <i>
      <x v="156"/>
    </i>
    <i>
      <x v="157"/>
    </i>
    <i>
      <x v="158"/>
    </i>
    <i>
      <x v="159"/>
    </i>
    <i>
      <x v="163"/>
    </i>
    <i>
      <x v="164"/>
    </i>
    <i>
      <x v="171"/>
    </i>
    <i>
      <x v="172"/>
    </i>
    <i>
      <x v="174"/>
    </i>
    <i>
      <x v="175"/>
    </i>
    <i>
      <x v="179"/>
    </i>
    <i>
      <x v="180"/>
    </i>
    <i>
      <x v="181"/>
    </i>
    <i>
      <x v="182"/>
    </i>
    <i>
      <x v="184"/>
    </i>
    <i>
      <x v="185"/>
    </i>
    <i>
      <x v="186"/>
    </i>
    <i>
      <x v="187"/>
    </i>
    <i>
      <x v="190"/>
    </i>
    <i t="grand">
      <x/>
    </i>
  </rowItems>
  <colItems count="1">
    <i/>
  </colItems>
  <pageFields count="4">
    <pageField fld="7" hier="-1"/>
    <pageField fld="4" item="2" hier="-1"/>
    <pageField fld="1" hier="-1"/>
    <pageField fld="2" hier="-1"/>
  </pageFields>
  <dataFields count="1">
    <dataField name="Count of Project" fld="3" subtotal="count" baseField="0" baseItem="0"/>
  </dataFields>
  <formats count="36">
    <format dxfId="71">
      <pivotArea outline="0" collapsedLevelsAreSubtotals="1" fieldPosition="0"/>
    </format>
    <format dxfId="70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69">
      <pivotArea dataOnly="0" labelOnly="1" grandRow="1" outline="0" fieldPosition="0"/>
    </format>
    <format dxfId="68">
      <pivotArea outline="0" collapsedLevelsAreSubtotals="1" fieldPosition="0"/>
    </format>
    <format dxfId="67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66">
      <pivotArea dataOnly="0" labelOnly="1" grandRow="1" outline="0" fieldPosition="0"/>
    </format>
    <format dxfId="65">
      <pivotArea field="0" type="button" dataOnly="0" labelOnly="1" outline="0" axis="axisRow" fieldPosition="0"/>
    </format>
    <format dxfId="64">
      <pivotArea dataOnly="0" labelOnly="1" outline="0" axis="axisValues" fieldPosition="0"/>
    </format>
    <format dxfId="63">
      <pivotArea field="0" type="button" dataOnly="0" labelOnly="1" outline="0" axis="axisRow" fieldPosition="0"/>
    </format>
    <format dxfId="62">
      <pivotArea dataOnly="0" labelOnly="1" outline="0" axis="axisValues" fieldPosition="0"/>
    </format>
    <format dxfId="61">
      <pivotArea field="0" type="button" dataOnly="0" labelOnly="1" outline="0" axis="axisRow" fieldPosition="0"/>
    </format>
    <format dxfId="60">
      <pivotArea dataOnly="0" labelOnly="1" outline="0" axis="axisValues" fieldPosition="0"/>
    </format>
    <format dxfId="59">
      <pivotArea field="0" type="button" dataOnly="0" labelOnly="1" outline="0" axis="axisRow" fieldPosition="0"/>
    </format>
    <format dxfId="58">
      <pivotArea dataOnly="0" labelOnly="1" outline="0" axis="axisValues" fieldPosition="0"/>
    </format>
    <format dxfId="57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56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55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54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dataOnly="0" labelOnly="1" outline="0" axis="axisValues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0" type="button" dataOnly="0" labelOnly="1" outline="0" axis="axisRow" fieldPosition="0"/>
    </format>
    <format dxfId="44">
      <pivotArea dataOnly="0" labelOnly="1" fieldPosition="0">
        <references count="1">
          <reference field="0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0"/>
        </references>
      </pivotArea>
    </format>
    <format dxfId="37">
      <pivotArea dataOnly="0" labelOnly="1" grandRow="1" outline="0" fieldPosition="0"/>
    </format>
    <format dxfId="3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955BA1-CF7C-4E0A-8C45-D9DE59ED4642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Job Number">
  <location ref="A6:B30" firstHeaderRow="1" firstDataRow="1" firstDataCol="1" rowPageCount="4" colPageCount="1"/>
  <pivotFields count="15">
    <pivotField axis="axisRow" showAll="0">
      <items count="192">
        <item x="190"/>
        <item x="1"/>
        <item x="2"/>
        <item x="3"/>
        <item x="16"/>
        <item x="17"/>
        <item x="18"/>
        <item x="25"/>
        <item x="26"/>
        <item x="39"/>
        <item x="40"/>
        <item x="29"/>
        <item x="4"/>
        <item x="6"/>
        <item x="7"/>
        <item x="8"/>
        <item x="9"/>
        <item x="10"/>
        <item x="11"/>
        <item x="12"/>
        <item x="13"/>
        <item x="14"/>
        <item x="15"/>
        <item x="22"/>
        <item x="23"/>
        <item x="32"/>
        <item x="36"/>
        <item x="37"/>
        <item x="41"/>
        <item x="33"/>
        <item x="0"/>
        <item x="5"/>
        <item x="19"/>
        <item x="20"/>
        <item x="21"/>
        <item x="24"/>
        <item x="27"/>
        <item x="28"/>
        <item x="30"/>
        <item x="31"/>
        <item x="34"/>
        <item x="35"/>
        <item x="38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axis="axisPage" showAll="0">
      <items count="68">
        <item x="13"/>
        <item x="9"/>
        <item x="18"/>
        <item x="6"/>
        <item x="4"/>
        <item x="2"/>
        <item x="0"/>
        <item x="20"/>
        <item x="5"/>
        <item x="11"/>
        <item x="12"/>
        <item x="19"/>
        <item x="7"/>
        <item x="14"/>
        <item x="3"/>
        <item x="16"/>
        <item x="1"/>
        <item x="8"/>
        <item x="15"/>
        <item x="17"/>
        <item x="10"/>
        <item x="6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t="default"/>
      </items>
    </pivotField>
    <pivotField axis="axisPage" showAll="0">
      <items count="92">
        <item x="15"/>
        <item x="29"/>
        <item x="17"/>
        <item x="19"/>
        <item x="18"/>
        <item x="16"/>
        <item x="10"/>
        <item x="24"/>
        <item x="21"/>
        <item x="8"/>
        <item x="30"/>
        <item x="28"/>
        <item x="7"/>
        <item x="6"/>
        <item x="1"/>
        <item x="2"/>
        <item x="3"/>
        <item x="27"/>
        <item x="0"/>
        <item x="23"/>
        <item x="26"/>
        <item x="5"/>
        <item x="11"/>
        <item x="4"/>
        <item x="13"/>
        <item x="20"/>
        <item x="14"/>
        <item x="22"/>
        <item x="12"/>
        <item x="25"/>
        <item x="9"/>
        <item x="9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  <pivotField dataField="1" showAll="0"/>
    <pivotField axis="axisPage" showAll="0">
      <items count="7">
        <item x="1"/>
        <item x="3"/>
        <item x="2"/>
        <item x="4"/>
        <item x="0"/>
        <item x="5"/>
        <item t="default"/>
      </items>
    </pivotField>
    <pivotField showAll="0"/>
    <pivotField showAll="0"/>
    <pivotField axis="axisPage" showAll="0">
      <items count="8">
        <item x="1"/>
        <item x="0"/>
        <item x="4"/>
        <item x="5"/>
        <item x="2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">
    <i>
      <x v="17"/>
    </i>
    <i>
      <x v="29"/>
    </i>
    <i>
      <x v="52"/>
    </i>
    <i>
      <x v="57"/>
    </i>
    <i>
      <x v="59"/>
    </i>
    <i>
      <x v="62"/>
    </i>
    <i>
      <x v="76"/>
    </i>
    <i>
      <x v="78"/>
    </i>
    <i>
      <x v="80"/>
    </i>
    <i>
      <x v="81"/>
    </i>
    <i>
      <x v="91"/>
    </i>
    <i>
      <x v="105"/>
    </i>
    <i>
      <x v="116"/>
    </i>
    <i>
      <x v="127"/>
    </i>
    <i>
      <x v="129"/>
    </i>
    <i>
      <x v="130"/>
    </i>
    <i>
      <x v="131"/>
    </i>
    <i>
      <x v="134"/>
    </i>
    <i>
      <x v="137"/>
    </i>
    <i>
      <x v="140"/>
    </i>
    <i>
      <x v="144"/>
    </i>
    <i>
      <x v="159"/>
    </i>
    <i>
      <x v="172"/>
    </i>
    <i t="grand">
      <x/>
    </i>
  </rowItems>
  <colItems count="1">
    <i/>
  </colItems>
  <pageFields count="4">
    <pageField fld="7" hier="-1"/>
    <pageField fld="4" hier="-1"/>
    <pageField fld="1" item="12" hier="-1"/>
    <pageField fld="2" hier="-1"/>
  </pageFields>
  <dataFields count="1">
    <dataField name="Count of Project" fld="3" subtotal="count" baseField="0" baseItem="0"/>
  </dataFields>
  <formats count="36">
    <format dxfId="35">
      <pivotArea outline="0" collapsedLevelsAreSubtotals="1" fieldPosition="0"/>
    </format>
    <format dxfId="34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33">
      <pivotArea dataOnly="0" labelOnly="1" grandRow="1" outline="0" fieldPosition="0"/>
    </format>
    <format dxfId="32">
      <pivotArea outline="0" collapsedLevelsAreSubtotals="1" fieldPosition="0"/>
    </format>
    <format dxfId="31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30">
      <pivotArea dataOnly="0" labelOnly="1" grandRow="1" outline="0" fieldPosition="0"/>
    </format>
    <format dxfId="29">
      <pivotArea field="0" type="button" dataOnly="0" labelOnly="1" outline="0" axis="axisRow" fieldPosition="0"/>
    </format>
    <format dxfId="28">
      <pivotArea dataOnly="0" labelOnly="1" outline="0" axis="axisValues" fieldPosition="0"/>
    </format>
    <format dxfId="27">
      <pivotArea field="0" type="button" dataOnly="0" labelOnly="1" outline="0" axis="axisRow" fieldPosition="0"/>
    </format>
    <format dxfId="26">
      <pivotArea dataOnly="0" labelOnly="1" outline="0" axis="axisValues" fieldPosition="0"/>
    </format>
    <format dxfId="25">
      <pivotArea field="0" type="button" dataOnly="0" labelOnly="1" outline="0" axis="axisRow" fieldPosition="0"/>
    </format>
    <format dxfId="24">
      <pivotArea dataOnly="0" labelOnly="1" outline="0" axis="axisValues" fieldPosition="0"/>
    </format>
    <format dxfId="23">
      <pivotArea field="0" type="button" dataOnly="0" labelOnly="1" outline="0" axis="axisRow" fieldPosition="0"/>
    </format>
    <format dxfId="22">
      <pivotArea dataOnly="0" labelOnly="1" outline="0" axis="axisValues" fieldPosition="0"/>
    </format>
    <format dxfId="21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20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9">
      <pivotArea collapsedLevelsAreSubtotals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8">
      <pivotArea dataOnly="0" labelOnly="1" fieldPosition="0">
        <references count="1">
          <reference field="0" count="20">
            <x v="4"/>
            <x v="5"/>
            <x v="7"/>
            <x v="9"/>
            <x v="10"/>
            <x v="13"/>
            <x v="17"/>
            <x v="18"/>
            <x v="21"/>
            <x v="22"/>
            <x v="26"/>
            <x v="27"/>
            <x v="29"/>
            <x v="30"/>
            <x v="32"/>
            <x v="33"/>
            <x v="34"/>
            <x v="40"/>
            <x v="41"/>
            <x v="42"/>
          </reference>
        </references>
      </pivotArea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wubia/OneDrive%20-%20Longi%20Magnet%20Australia%20Pty%20ltd/Documents%20-%20Longi%20Australia/03%20Project%20Management/Client/MRL/Mt%20Marion/AQ0051%20WHIMS%20Protection%20LIMS" TargetMode="External"/><Relationship Id="rId299" Type="http://schemas.openxmlformats.org/officeDocument/2006/relationships/ctrlProp" Target="../ctrlProps/ctrlProp68.xml"/><Relationship Id="rId21" Type="http://schemas.openxmlformats.org/officeDocument/2006/relationships/hyperlink" Target="../../../AppData/Roaming/Microsoft/Excel/Client/HanRoy/Ridley/AT0004%20LIMS%20Scale-up%20Testwork" TargetMode="External"/><Relationship Id="rId63" Type="http://schemas.openxmlformats.org/officeDocument/2006/relationships/hyperlink" Target="../../../AppData/Roaming/Microsoft/Client/MRL/Mt%20Marion/AQ0025%20Heat%20Exchanger%20Upgade" TargetMode="External"/><Relationship Id="rId159" Type="http://schemas.openxmlformats.org/officeDocument/2006/relationships/hyperlink" Target="../../../../wubia/OneDrive%20-%20Longi%20Magnet%20Australia%20Pty%20ltd/Documents%20-%20Longi%20Australia/03%20Project%20Management/Client/MRL/Mauritania/AQ0074%20El%20Aouj%20Project%20LJK" TargetMode="External"/><Relationship Id="rId324" Type="http://schemas.openxmlformats.org/officeDocument/2006/relationships/ctrlProp" Target="../ctrlProps/ctrlProp93.xml"/><Relationship Id="rId366" Type="http://schemas.openxmlformats.org/officeDocument/2006/relationships/ctrlProp" Target="../ctrlProps/ctrlProp135.xml"/><Relationship Id="rId170" Type="http://schemas.openxmlformats.org/officeDocument/2006/relationships/hyperlink" Target="../../../../wubia/OneDrive%20-%20Longi%20Magnet%20Australia%20Pty%20ltd/Documents%20-%20Longi%20Australia/03%20Project%20Management/Client/Group6Metals/Dolphin%20Tungsten%20Mine/AT0053%20Tungsten%20WHIMS%20%20Testwork" TargetMode="External"/><Relationship Id="rId226" Type="http://schemas.openxmlformats.org/officeDocument/2006/relationships/hyperlink" Target="file:///C:\Users\wubia\OneDrive%20-%20Longi%20Magnet%20Australia%20Pty%20ltd\Documents%20-%20Longi%20Australia\03%20Project%20Management\Client\Peak_Iron\Hawks%20Nest%20Magnetite\AT0065%20Dry%20Magnetic%20Separation%20Testwork" TargetMode="External"/><Relationship Id="rId433" Type="http://schemas.openxmlformats.org/officeDocument/2006/relationships/ctrlProp" Target="../ctrlProps/ctrlProp202.xml"/><Relationship Id="rId268" Type="http://schemas.openxmlformats.org/officeDocument/2006/relationships/ctrlProp" Target="../ctrlProps/ctrlProp37.xml"/><Relationship Id="rId32" Type="http://schemas.openxmlformats.org/officeDocument/2006/relationships/hyperlink" Target="../../../AppData/Roaming/Microsoft/Excel/Client/Peak_Iron/Hawks%20Nest%20Magnetite/AT0010%20Fine%20Dry%20Magnetic%20Separation%20testing" TargetMode="External"/><Relationship Id="rId74" Type="http://schemas.openxmlformats.org/officeDocument/2006/relationships/hyperlink" Target="../../../../wubia/OneDrive%20-%20Longi%20Magnet%20Australia%20Pty%20ltd/Documents%20-%20Longi%20Australia/03%20Project%20Management/Client/Karara_Mining/Karara/AT0023%20MS%20Investigation" TargetMode="External"/><Relationship Id="rId128" Type="http://schemas.openxmlformats.org/officeDocument/2006/relationships/hyperlink" Target="../../../../wubia/OneDrive%20-%20Longi%20Magnet%20Australia%20Pty%20ltd/Documents%20-%20Longi%20Australia/03%20Project%20Management/Client/MRL/Wodgina/AT0041%20WHIMS%20Testwork" TargetMode="External"/><Relationship Id="rId335" Type="http://schemas.openxmlformats.org/officeDocument/2006/relationships/ctrlProp" Target="../ctrlProps/ctrlProp104.xml"/><Relationship Id="rId377" Type="http://schemas.openxmlformats.org/officeDocument/2006/relationships/ctrlProp" Target="../ctrlProps/ctrlProp146.xml"/><Relationship Id="rId5" Type="http://schemas.openxmlformats.org/officeDocument/2006/relationships/hyperlink" Target="../../../AppData/Roaming/Microsoft/Excel/Client/SIMEC/MEP%201/AQ0008%20SIMEC%20Wet%20Plant" TargetMode="External"/><Relationship Id="rId181" Type="http://schemas.openxmlformats.org/officeDocument/2006/relationships/hyperlink" Target="../../../../wubia/OneDrive%20-%20Longi%20Magnet%20Australia%20Pty%20ltd/Documents%20-%20Longi%20Australia/03%20Project%20Management/Client/Terra_mining/Extension%20Hill/AQ0083%20%20DMS%20Replacement%20Unit" TargetMode="External"/><Relationship Id="rId237" Type="http://schemas.openxmlformats.org/officeDocument/2006/relationships/ctrlProp" Target="../ctrlProps/ctrlProp6.xml"/><Relationship Id="rId402" Type="http://schemas.openxmlformats.org/officeDocument/2006/relationships/ctrlProp" Target="../ctrlProps/ctrlProp171.xml"/><Relationship Id="rId279" Type="http://schemas.openxmlformats.org/officeDocument/2006/relationships/ctrlProp" Target="../ctrlProps/ctrlProp48.xml"/><Relationship Id="rId444" Type="http://schemas.openxmlformats.org/officeDocument/2006/relationships/ctrlProp" Target="../ctrlProps/ctrlProp213.xml"/><Relationship Id="rId43" Type="http://schemas.openxmlformats.org/officeDocument/2006/relationships/hyperlink" Target="../../../:f:/s/LongiAustralia/Enc1BEep3NVBitfVu2O5_pMBX5n0alO4sUjJbhKihYnL2Q%3fe=bm9s1U" TargetMode="External"/><Relationship Id="rId139" Type="http://schemas.openxmlformats.org/officeDocument/2006/relationships/hyperlink" Target="../../../../wubia/OneDrive%20-%20Longi%20Magnet%20Australia%20Pty%20ltd/Documents%20-%20Longi%20Australia/03%20Project%20Management/Client/Agile_Mining/Commonwelth_Hill/AC0022%20General%20Inquiry" TargetMode="External"/><Relationship Id="rId290" Type="http://schemas.openxmlformats.org/officeDocument/2006/relationships/ctrlProp" Target="../ctrlProps/ctrlProp59.xml"/><Relationship Id="rId304" Type="http://schemas.openxmlformats.org/officeDocument/2006/relationships/ctrlProp" Target="../ctrlProps/ctrlProp73.xml"/><Relationship Id="rId346" Type="http://schemas.openxmlformats.org/officeDocument/2006/relationships/ctrlProp" Target="../ctrlProps/ctrlProp115.xml"/><Relationship Id="rId388" Type="http://schemas.openxmlformats.org/officeDocument/2006/relationships/ctrlProp" Target="../ctrlProps/ctrlProp157.xml"/><Relationship Id="rId85" Type="http://schemas.openxmlformats.org/officeDocument/2006/relationships/hyperlink" Target="../../../../wubia/OneDrive%20-%20Longi%20Magnet%20Australia%20Pty%20ltd/Documents%20-%20Longi%20Australia/03%20Project%20Management/Client/Riotinto/AQ0034%20HVO%20CHPP" TargetMode="External"/><Relationship Id="rId150" Type="http://schemas.openxmlformats.org/officeDocument/2006/relationships/hyperlink" Target="../../../../wubia/OneDrive%20-%20Longi%20Magnet%20Australia%20Pty%20ltd/Documents%20-%20Longi%20Australia/03%20Project%20Management/Client/Silica_Resources_Australia/Mourilya_%20Silica_Sands_Project/AC0023%20General%20Inquiry" TargetMode="External"/><Relationship Id="rId192" Type="http://schemas.openxmlformats.org/officeDocument/2006/relationships/hyperlink" Target="file:///C:\Users\wubia\OneDrive%20-%20Longi%20Magnet%20Australia%20Pty%20ltd\Documents%20-%20Longi%20Australia\03%20Project%20Management\Client\Crimson_Metals\MT%20GIBSON%20GOLD%20\AQ0091%20Mt%20Gibson%20Gold%20Project%20Tramp%20Magents" TargetMode="External"/><Relationship Id="rId206" Type="http://schemas.openxmlformats.org/officeDocument/2006/relationships/hyperlink" Target="file:///C:\Users\wubia\OneDrive%20-%20Longi%20Magnet%20Australia%20Pty%20ltd\Documents%20-%20Longi%20Australia\03%20Project%20Management\Client\Pure_Resources\Reedy%20Creek%20Garnet%20Project\AC0031%20General%20Inquiry" TargetMode="External"/><Relationship Id="rId413" Type="http://schemas.openxmlformats.org/officeDocument/2006/relationships/ctrlProp" Target="../ctrlProps/ctrlProp182.xml"/><Relationship Id="rId248" Type="http://schemas.openxmlformats.org/officeDocument/2006/relationships/ctrlProp" Target="../ctrlProps/ctrlProp17.xml"/><Relationship Id="rId455" Type="http://schemas.openxmlformats.org/officeDocument/2006/relationships/ctrlProp" Target="../ctrlProps/ctrlProp224.xml"/><Relationship Id="rId12" Type="http://schemas.openxmlformats.org/officeDocument/2006/relationships/hyperlink" Target="../../../AppData/Roaming/Microsoft/Excel/Client/KUREEM/KUREEM/AQ0004%20KUREEM%20Project%20FS" TargetMode="External"/><Relationship Id="rId108" Type="http://schemas.openxmlformats.org/officeDocument/2006/relationships/hyperlink" Target="../../../../wubia/OneDrive%20-%20Longi%20Magnet%20Australia%20Pty%20ltd/Documents%20-%20Longi%20Australia/03%20Project%20Management/Client/ALS/ALS%20Balcata/AQ0046%20LGS-100" TargetMode="External"/><Relationship Id="rId315" Type="http://schemas.openxmlformats.org/officeDocument/2006/relationships/ctrlProp" Target="../ctrlProps/ctrlProp84.xml"/><Relationship Id="rId357" Type="http://schemas.openxmlformats.org/officeDocument/2006/relationships/ctrlProp" Target="../ctrlProps/ctrlProp126.xml"/><Relationship Id="rId54" Type="http://schemas.openxmlformats.org/officeDocument/2006/relationships/hyperlink" Target="../../../AppData/Roaming/Microsoft/Excel/Client/%20Savannah_Resources/Barroso%20Lithium%20Project(Portugal)/AQ0023%20BLP%20LIMS%20and%20WHIMS(Minsol)" TargetMode="External"/><Relationship Id="rId96" Type="http://schemas.openxmlformats.org/officeDocument/2006/relationships/hyperlink" Target="../../../../wubia/OneDrive%20-%20Longi%20Magnet%20Australia%20Pty%20ltd/Documents%20-%20Longi%20Australia/03%20Project%20Management/Client/Blackore/Extension%20Hill/AQ0039%20LCGJ%20DMS" TargetMode="External"/><Relationship Id="rId161" Type="http://schemas.openxmlformats.org/officeDocument/2006/relationships/hyperlink" Target="../../../../wubia/OneDrive%20-%20Longi%20Magnet%20Australia%20Pty%20ltd/Documents%20-%20Longi%20Australia/03%20Project%20Management/Client/Havilah_Resources/GRANTS_GRANTS_BASIN/AC0026%20General%20Inquiry" TargetMode="External"/><Relationship Id="rId217" Type="http://schemas.openxmlformats.org/officeDocument/2006/relationships/hyperlink" Target="file:///C:\Users\wubia\OneDrive%20-%20Longi%20Magnet%20Australia%20Pty%20ltd\Documents%20-%20Longi%20Australia\03%20Project%20Management\Client\Mindax\Mt%20Forrest\AC0032%20General%20Inquiry" TargetMode="External"/><Relationship Id="rId399" Type="http://schemas.openxmlformats.org/officeDocument/2006/relationships/ctrlProp" Target="../ctrlProps/ctrlProp168.xml"/><Relationship Id="rId259" Type="http://schemas.openxmlformats.org/officeDocument/2006/relationships/ctrlProp" Target="../ctrlProps/ctrlProp28.xml"/><Relationship Id="rId424" Type="http://schemas.openxmlformats.org/officeDocument/2006/relationships/ctrlProp" Target="../ctrlProps/ctrlProp193.xml"/><Relationship Id="rId23" Type="http://schemas.openxmlformats.org/officeDocument/2006/relationships/hyperlink" Target="../../../AppData/Roaming/Microsoft/Excel/Client/FMG/Iron%20Bridge/AQ0012%20dewater%20drum%20replacement" TargetMode="External"/><Relationship Id="rId119" Type="http://schemas.openxmlformats.org/officeDocument/2006/relationships/hyperlink" Target="../../../../wubia/OneDrive%20-%20Longi%20Magnet%20Australia%20Pty%20ltd/Documents%20-%20Longi%20Australia/03%20Project%20Management/Client/Young_Steel/Snaefell/AT0035%20Metallurgical%20Testworks" TargetMode="External"/><Relationship Id="rId270" Type="http://schemas.openxmlformats.org/officeDocument/2006/relationships/ctrlProp" Target="../ctrlProps/ctrlProp39.xml"/><Relationship Id="rId326" Type="http://schemas.openxmlformats.org/officeDocument/2006/relationships/ctrlProp" Target="../ctrlProps/ctrlProp95.xml"/><Relationship Id="rId65" Type="http://schemas.openxmlformats.org/officeDocument/2006/relationships/hyperlink" Target="../../../../wubia/OneDrive%20-%20Longi%20Magnet%20Australia%20Pty%20ltd/Documents%20-%20Longi%20Australia/03%20Project%20Management/Client/_MWPA/Mid%20West%20Port%20Authority/AQ0027%20Metal%20Detector" TargetMode="External"/><Relationship Id="rId130" Type="http://schemas.openxmlformats.org/officeDocument/2006/relationships/hyperlink" Target="../../../../wubia/OneDrive%20-%20Longi%20Magnet%20Australia%20Pty%20ltd/Documents%20-%20Longi%20Australia/03%20Project%20Management/Client/MRL/Wodgina/AQ0054%20RFP%20-%20PP007%20-%20MRL3468%20MS%20(LIMS)%20-%20Train%204" TargetMode="External"/><Relationship Id="rId368" Type="http://schemas.openxmlformats.org/officeDocument/2006/relationships/ctrlProp" Target="../ctrlProps/ctrlProp137.xml"/><Relationship Id="rId172" Type="http://schemas.openxmlformats.org/officeDocument/2006/relationships/hyperlink" Target="../../../../wubia/OneDrive%20-%20Longi%20Magnet%20Australia%20Pty%20ltd/Documents%20-%20Longi%20Australia/03%20Project%20Management/Client/BV/BV%20Perth/AQ0079%20Demag-Coil" TargetMode="External"/><Relationship Id="rId228" Type="http://schemas.openxmlformats.org/officeDocument/2006/relationships/hyperlink" Target="file:///C:\Users\wubia\OneDrive%20-%20Longi%20Magnet%20Australia%20Pty%20ltd\Documents%20-%20Longi%20Australia\03%20Project%20Management\Client\Terra_mining\Extension%20Hill\AT0066%20Metallurgical%20Testworks" TargetMode="External"/><Relationship Id="rId435" Type="http://schemas.openxmlformats.org/officeDocument/2006/relationships/ctrlProp" Target="../ctrlProps/ctrlProp204.xml"/><Relationship Id="rId281" Type="http://schemas.openxmlformats.org/officeDocument/2006/relationships/ctrlProp" Target="../ctrlProps/ctrlProp50.xml"/><Relationship Id="rId337" Type="http://schemas.openxmlformats.org/officeDocument/2006/relationships/ctrlProp" Target="../ctrlProps/ctrlProp106.xml"/><Relationship Id="rId34" Type="http://schemas.openxmlformats.org/officeDocument/2006/relationships/hyperlink" Target="../../../AppData/Roaming/Microsoft/Excel/Client/MRL/Mt%20Marion/AS0001%20Service" TargetMode="External"/><Relationship Id="rId76" Type="http://schemas.openxmlformats.org/officeDocument/2006/relationships/hyperlink" Target="../../../../wubia/OneDrive%20-%20Longi%20Magnet%20Australia%20Pty%20ltd/Documents%20-%20Longi%20Australia/03%20Project%20Management/Client/Lincoln_Minerals/Green%20Iron%20Magnetite/AC0014%20General%20Inquiry" TargetMode="External"/><Relationship Id="rId141" Type="http://schemas.openxmlformats.org/officeDocument/2006/relationships/hyperlink" Target="../../../../wubia/OneDrive%20-%20Longi%20Magnet%20Australia%20Pty%20ltd/Documents%20-%20Longi%20Australia/03%20Project%20Management/Client/MRL/Mauritania/AQ0060%20El%20Aouj%20Project%20in%20Mauritania" TargetMode="External"/><Relationship Id="rId379" Type="http://schemas.openxmlformats.org/officeDocument/2006/relationships/ctrlProp" Target="../ctrlProps/ctrlProp148.xml"/><Relationship Id="rId7" Type="http://schemas.openxmlformats.org/officeDocument/2006/relationships/hyperlink" Target="../../../AppData/Roaming/Microsoft/Excel/Client/SIMEC/MEP%203/AC0003%20General%20Inquiry" TargetMode="External"/><Relationship Id="rId183" Type="http://schemas.openxmlformats.org/officeDocument/2006/relationships/hyperlink" Target="../../../../wubia/OneDrive%20-%20Longi%20Magnet%20Australia%20Pty%20ltd/Documents%20-%20Longi%20Australia/03%20Project%20Management/Client/HY_Mineral/Momo/AT0058%20Metallurgical%20Testworks" TargetMode="External"/><Relationship Id="rId239" Type="http://schemas.openxmlformats.org/officeDocument/2006/relationships/ctrlProp" Target="../ctrlProps/ctrlProp8.xml"/><Relationship Id="rId390" Type="http://schemas.openxmlformats.org/officeDocument/2006/relationships/ctrlProp" Target="../ctrlProps/ctrlProp159.xml"/><Relationship Id="rId404" Type="http://schemas.openxmlformats.org/officeDocument/2006/relationships/ctrlProp" Target="../ctrlProps/ctrlProp173.xml"/><Relationship Id="rId446" Type="http://schemas.openxmlformats.org/officeDocument/2006/relationships/ctrlProp" Target="../ctrlProps/ctrlProp215.xml"/><Relationship Id="rId250" Type="http://schemas.openxmlformats.org/officeDocument/2006/relationships/ctrlProp" Target="../ctrlProps/ctrlProp19.xml"/><Relationship Id="rId292" Type="http://schemas.openxmlformats.org/officeDocument/2006/relationships/ctrlProp" Target="../ctrlProps/ctrlProp61.xml"/><Relationship Id="rId306" Type="http://schemas.openxmlformats.org/officeDocument/2006/relationships/ctrlProp" Target="../ctrlProps/ctrlProp75.xml"/><Relationship Id="rId45" Type="http://schemas.openxmlformats.org/officeDocument/2006/relationships/hyperlink" Target="../../../AppData/Roaming/Microsoft/Excel/Client/Lindian_Resources/Kangankunde/AC0011%20WHIMS%20Plant" TargetMode="External"/><Relationship Id="rId87" Type="http://schemas.openxmlformats.org/officeDocument/2006/relationships/hyperlink" Target="../../../../wubia/OneDrive%20-%20Longi%20Magnet%20Australia%20Pty%20ltd/Documents%20-%20Longi%20Australia/03%20Project%20Management/Client/PLS/Pilgangoora/AQ0035%20P1000" TargetMode="External"/><Relationship Id="rId110" Type="http://schemas.openxmlformats.org/officeDocument/2006/relationships/hyperlink" Target="../../../../wubia/OneDrive%20-%20Longi%20Magnet%20Australia%20Pty%20ltd/Documents%20-%20Longi%20Australia/03%20Project%20Management/Client/SIMEC/MEP%201/AQ0047%2012935%20CP008B%20DIMS%20Package" TargetMode="External"/><Relationship Id="rId348" Type="http://schemas.openxmlformats.org/officeDocument/2006/relationships/ctrlProp" Target="../ctrlProps/ctrlProp117.xml"/><Relationship Id="rId152" Type="http://schemas.openxmlformats.org/officeDocument/2006/relationships/hyperlink" Target="../../../../wubia/OneDrive%20-%20Longi%20Magnet%20Australia%20Pty%20ltd/Documents%20-%20Longi%20Australia/03%20Project%20Management/Client/Delta_Lithium/Yinnetharra/AQ0068%20Yinnetharra%20Project%20PFS-LIMS" TargetMode="External"/><Relationship Id="rId194" Type="http://schemas.openxmlformats.org/officeDocument/2006/relationships/hyperlink" Target="file:///C:\Users\wubia\OneDrive%20-%20Longi%20Magnet%20Australia%20Pty%20ltd\Documents%20-%20Longi%20Australia\03%20Project%20Management\Client\Green_Capital\Mt%20Magnet%20Project\AC0028%20General%20Inquiry" TargetMode="External"/><Relationship Id="rId208" Type="http://schemas.openxmlformats.org/officeDocument/2006/relationships/hyperlink" Target="file:///C:\Users\wubia\OneDrive%20-%20Longi%20Magnet%20Australia%20Pty%20ltd\Documents%20-%20Longi%20Australia\03%20Project%20Management\Client\Covalent_Lithium\Mount%20Holland\AQ0101%20MTH-300-ME-RFT-0048%20Covalent%20Expansion%20Project%20-%20WHIMS" TargetMode="External"/><Relationship Id="rId415" Type="http://schemas.openxmlformats.org/officeDocument/2006/relationships/ctrlProp" Target="../ctrlProps/ctrlProp184.xml"/><Relationship Id="rId457" Type="http://schemas.openxmlformats.org/officeDocument/2006/relationships/ctrlProp" Target="../ctrlProps/ctrlProp226.xml"/><Relationship Id="rId261" Type="http://schemas.openxmlformats.org/officeDocument/2006/relationships/ctrlProp" Target="../ctrlProps/ctrlProp30.xml"/><Relationship Id="rId14" Type="http://schemas.openxmlformats.org/officeDocument/2006/relationships/hyperlink" Target="../../../AppData/Roaming/Microsoft/Excel/Client/MRL/Wodgina/AQ0006%20Wodina%20Train%204" TargetMode="External"/><Relationship Id="rId56" Type="http://schemas.openxmlformats.org/officeDocument/2006/relationships/hyperlink" Target="../../../AppData/Roaming/Microsoft/Excel/Client/HanRoy/Mt%20Beavan/AT0016%20VRM%20and%20MS%20Pilot%20Testwork" TargetMode="External"/><Relationship Id="rId317" Type="http://schemas.openxmlformats.org/officeDocument/2006/relationships/ctrlProp" Target="../ctrlProps/ctrlProp86.xml"/><Relationship Id="rId359" Type="http://schemas.openxmlformats.org/officeDocument/2006/relationships/ctrlProp" Target="../ctrlProps/ctrlProp128.xml"/><Relationship Id="rId98" Type="http://schemas.openxmlformats.org/officeDocument/2006/relationships/hyperlink" Target="../../../../wubia/OneDrive%20-%20Longi%20Magnet%20Australia%20Pty%20ltd/Documents%20-%20Longi%20Australia/03%20Project%20Management/Client/BV/BV%20Perth/AQ0041%20LGS-EX%20Replacement" TargetMode="External"/><Relationship Id="rId121" Type="http://schemas.openxmlformats.org/officeDocument/2006/relationships/hyperlink" Target="../../../../wubia/OneDrive%20-%20Longi%20Magnet%20Australia%20Pty%20ltd/Documents%20-%20Longi%20Australia/03%20Project%20Management/Client/Young_Steel/Commmonwelth_Hill/AT0037%20MS%20Testworks" TargetMode="External"/><Relationship Id="rId163" Type="http://schemas.openxmlformats.org/officeDocument/2006/relationships/hyperlink" Target="../../../../wubia/OneDrive%20-%20Longi%20Magnet%20Australia%20Pty%20ltd/Documents%20-%20Longi%20Australia/03%20Project%20Management/Client/Grange/Savage%20River/AQ0075%20LJC300%20Modelar%20Plant%20Trial" TargetMode="External"/><Relationship Id="rId219" Type="http://schemas.openxmlformats.org/officeDocument/2006/relationships/hyperlink" Target="file:///C:\Users\wubia\OneDrive%20-%20Longi%20Magnet%20Australia%20Pty%20ltd\Documents%20-%20Longi%20Australia\03%20Project%20Management\Client\Covalent_Lithium\Mount%20Holland\AQ0108%20CON-EXP-015%20LIMS&amp;%20WHIMS" TargetMode="External"/><Relationship Id="rId370" Type="http://schemas.openxmlformats.org/officeDocument/2006/relationships/ctrlProp" Target="../ctrlProps/ctrlProp139.xml"/><Relationship Id="rId426" Type="http://schemas.openxmlformats.org/officeDocument/2006/relationships/ctrlProp" Target="../ctrlProps/ctrlProp195.xml"/><Relationship Id="rId230" Type="http://schemas.openxmlformats.org/officeDocument/2006/relationships/drawing" Target="../drawings/drawing1.xml"/><Relationship Id="rId25" Type="http://schemas.openxmlformats.org/officeDocument/2006/relationships/hyperlink" Target="../../../AppData/Roaming/Microsoft/Excel/Client/Ladestone/Baremar/AT0006%20%20Developing%20Plant" TargetMode="External"/><Relationship Id="rId67" Type="http://schemas.openxmlformats.org/officeDocument/2006/relationships/hyperlink" Target="../Client/ALS/ALS%20Balcata/AS0007%20LGS-500%20Installation" TargetMode="External"/><Relationship Id="rId272" Type="http://schemas.openxmlformats.org/officeDocument/2006/relationships/ctrlProp" Target="../ctrlProps/ctrlProp41.xml"/><Relationship Id="rId328" Type="http://schemas.openxmlformats.org/officeDocument/2006/relationships/ctrlProp" Target="../ctrlProps/ctrlProp97.xml"/><Relationship Id="rId132" Type="http://schemas.openxmlformats.org/officeDocument/2006/relationships/hyperlink" Target="../../../../wubia/OneDrive%20-%20Longi%20Magnet%20Australia%20Pty%20ltd/Documents%20-%20Longi%20Australia/03%20Project%20Management/Client/FMG/Kings/AC0022%20KV%20Tails%20Scavenging%20Testwork" TargetMode="External"/><Relationship Id="rId174" Type="http://schemas.openxmlformats.org/officeDocument/2006/relationships/hyperlink" Target="../../../../wubia/OneDrive%20-%20Longi%20Magnet%20Australia%20Pty%20ltd/Documents%20-%20Longi%20Australia/03%20Project%20Management/Client/Vytas/Ultra%20High%20Grade%20Quartz/AT0054%20Dry%20Eletromagnet%20Filter%20Enquiry" TargetMode="External"/><Relationship Id="rId381" Type="http://schemas.openxmlformats.org/officeDocument/2006/relationships/ctrlProp" Target="../ctrlProps/ctrlProp150.xml"/><Relationship Id="rId241" Type="http://schemas.openxmlformats.org/officeDocument/2006/relationships/ctrlProp" Target="../ctrlProps/ctrlProp10.xml"/><Relationship Id="rId437" Type="http://schemas.openxmlformats.org/officeDocument/2006/relationships/ctrlProp" Target="../ctrlProps/ctrlProp206.xml"/><Relationship Id="rId36" Type="http://schemas.openxmlformats.org/officeDocument/2006/relationships/hyperlink" Target="../../../AppData/Roaming/Microsoft/Excel/Client/Riotinto/Tom%20Price/AT0012%20WHIMS%20Testwork" TargetMode="External"/><Relationship Id="rId283" Type="http://schemas.openxmlformats.org/officeDocument/2006/relationships/ctrlProp" Target="../ctrlProps/ctrlProp52.xml"/><Relationship Id="rId339" Type="http://schemas.openxmlformats.org/officeDocument/2006/relationships/ctrlProp" Target="../ctrlProps/ctrlProp108.xml"/><Relationship Id="rId78" Type="http://schemas.openxmlformats.org/officeDocument/2006/relationships/hyperlink" Target="../../../../wubia/OneDrive%20-%20Longi%20Magnet%20Australia%20Pty%20ltd/Documents%20-%20Longi%20Australia/03%20Project%20Management/Client/FMG/Solomon/AQ0030%20DMS%20LIMS" TargetMode="External"/><Relationship Id="rId101" Type="http://schemas.openxmlformats.org/officeDocument/2006/relationships/hyperlink" Target="../../../../wubia/OneDrive%20-%20Longi%20Magnet%20Australia%20Pty%20ltd/Documents%20-%20Longi%20Australia/03%20Project%20Management/Client/CXL/Greensteel/AC0018%20Greensteel%20Mag%20Separation%20Collbaration" TargetMode="External"/><Relationship Id="rId143" Type="http://schemas.openxmlformats.org/officeDocument/2006/relationships/hyperlink" Target="../../../../wubia/OneDrive%20-%20Longi%20Magnet%20Australia%20Pty%20ltd/Documents%20-%20Longi%20Australia/03%20Project%20Management/Client/Agile_Mining/Commonwelth_Hill/AT0047%20Magnetic%20Separation%20Testwork" TargetMode="External"/><Relationship Id="rId185" Type="http://schemas.openxmlformats.org/officeDocument/2006/relationships/hyperlink" Target="file:///C:\Users\wubia\OneDrive%20-%20Longi%20Magnet%20Australia%20Pty%20ltd\Documents%20-%20Longi%20Australia\03%20Project%20Management\Client\Terra_mining\Extension%20Hill\AQ0086%20Dry%20Mag%20Separation%20Platform(batch%202)" TargetMode="External"/><Relationship Id="rId350" Type="http://schemas.openxmlformats.org/officeDocument/2006/relationships/ctrlProp" Target="../ctrlProps/ctrlProp119.xml"/><Relationship Id="rId406" Type="http://schemas.openxmlformats.org/officeDocument/2006/relationships/ctrlProp" Target="../ctrlProps/ctrlProp175.xml"/><Relationship Id="rId9" Type="http://schemas.openxmlformats.org/officeDocument/2006/relationships/hyperlink" Target="../../../AppData/Roaming/Microsoft/Excel/Client/PeakRE/Ngualla/AT0002%20WHIMS%20Testwork" TargetMode="External"/><Relationship Id="rId210" Type="http://schemas.openxmlformats.org/officeDocument/2006/relationships/hyperlink" Target="file:///C:\Users\wubia\OneDrive%20-%20Longi%20Magnet%20Australia%20Pty%20ltd\Documents%20-%20Longi%20Australia\03%20Project%20Management\Client\Chalice_Mining\Gonneville%20Sulphide%20Processing%20Facility\AQ0100%2013041-CP008%20-%20Magnetic%20Separators-%20PFS" TargetMode="External"/><Relationship Id="rId392" Type="http://schemas.openxmlformats.org/officeDocument/2006/relationships/ctrlProp" Target="../ctrlProps/ctrlProp161.xml"/><Relationship Id="rId448" Type="http://schemas.openxmlformats.org/officeDocument/2006/relationships/ctrlProp" Target="../ctrlProps/ctrlProp217.xml"/><Relationship Id="rId252" Type="http://schemas.openxmlformats.org/officeDocument/2006/relationships/ctrlProp" Target="../ctrlProps/ctrlProp21.xml"/><Relationship Id="rId294" Type="http://schemas.openxmlformats.org/officeDocument/2006/relationships/ctrlProp" Target="../ctrlProps/ctrlProp63.xml"/><Relationship Id="rId308" Type="http://schemas.openxmlformats.org/officeDocument/2006/relationships/ctrlProp" Target="../ctrlProps/ctrlProp77.xml"/><Relationship Id="rId47" Type="http://schemas.openxmlformats.org/officeDocument/2006/relationships/hyperlink" Target="../../../AppData/Roaming/Microsoft/Excel/Client/Blackore/Extension%20Hill/AT0014%20Dry%20Magnetic%20Separation%20Testwork(BV)" TargetMode="External"/><Relationship Id="rId89" Type="http://schemas.openxmlformats.org/officeDocument/2006/relationships/hyperlink" Target="../../../../wubia/OneDrive%20-%20Longi%20Magnet%20Australia%20Pty%20ltd/Documents%20-%20Longi%20Australia/03%20Project%20Management/Client/Empire_Metals&#160;/Pitfield/AC0016%20General%20Inquiry" TargetMode="External"/><Relationship Id="rId112" Type="http://schemas.openxmlformats.org/officeDocument/2006/relationships/hyperlink" Target="../../../../wubia/OneDrive%20-%20Longi%20Magnet%20Australia%20Pty%20ltd/Documents%20-%20Longi%20Australia/03%20Project%20Management/Client/Covalent_Lithium/Mount%20Holland/AT0032%20Dry%20Magnetic%20Separation%20Testwork" TargetMode="External"/><Relationship Id="rId154" Type="http://schemas.openxmlformats.org/officeDocument/2006/relationships/hyperlink" Target="../../../../wubia/OneDrive%20-%20Longi%20Magnet%20Australia%20Pty%20ltd/Documents%20-%20Longi%20Australia/03%20Project%20Management/Client/SIMEC/Hematite/AC0024%20Tails%20Recovery%20Project" TargetMode="External"/><Relationship Id="rId361" Type="http://schemas.openxmlformats.org/officeDocument/2006/relationships/ctrlProp" Target="../ctrlProps/ctrlProp130.xml"/><Relationship Id="rId196" Type="http://schemas.openxmlformats.org/officeDocument/2006/relationships/hyperlink" Target="file:///C:\Users\wubia\OneDrive%20-%20Longi%20Magnet%20Australia%20Pty%20ltd\Documents%20-%20Longi%20Australia\03%20Project%20Management\Client\AVL\The%20Australian%20Vanadium%20Project\AQ0093%20AVL%20CV002%20Mag%20Sep-" TargetMode="External"/><Relationship Id="rId417" Type="http://schemas.openxmlformats.org/officeDocument/2006/relationships/ctrlProp" Target="../ctrlProps/ctrlProp186.xml"/><Relationship Id="rId459" Type="http://schemas.openxmlformats.org/officeDocument/2006/relationships/ctrlProp" Target="../ctrlProps/ctrlProp228.xml"/><Relationship Id="rId16" Type="http://schemas.openxmlformats.org/officeDocument/2006/relationships/hyperlink" Target="../../../AppData/Roaming/Microsoft/Excel/Client/SIMEC/MEP%201/AQ0009%20SIMEC%20Dry%20Plant" TargetMode="External"/><Relationship Id="rId221" Type="http://schemas.openxmlformats.org/officeDocument/2006/relationships/hyperlink" Target="file:///C:\Users\wubia\OneDrive%20-%20Longi%20Magnet%20Australia%20Pty%20ltd\Documents%20-%20Longi%20Australia\03%20Project%20Management\Client\Hawsons_Iron\Hawsons%20Iron%20Project\AT0063%20LCGF%20Pilot%20Testwork" TargetMode="External"/><Relationship Id="rId263" Type="http://schemas.openxmlformats.org/officeDocument/2006/relationships/ctrlProp" Target="../ctrlProps/ctrlProp32.xml"/><Relationship Id="rId319" Type="http://schemas.openxmlformats.org/officeDocument/2006/relationships/ctrlProp" Target="../ctrlProps/ctrlProp88.xml"/><Relationship Id="rId58" Type="http://schemas.openxmlformats.org/officeDocument/2006/relationships/hyperlink" Target="../../../AppData/Roaming/Microsoft/Excel/Client/MRL/Mt%20Marion/AS0004%20LIMS%20Service" TargetMode="External"/><Relationship Id="rId123" Type="http://schemas.openxmlformats.org/officeDocument/2006/relationships/hyperlink" Target="../../../../wubia/OneDrive%20-%20Longi%20Magnet%20Australia%20Pty%20ltd/Documents%20-%20Longi%20Australia/03%20Project%20Management/Client/Karawara_Minerals/Broula_Magnetite/AT0039%20Magnetic%20Separation%20Trial" TargetMode="External"/><Relationship Id="rId330" Type="http://schemas.openxmlformats.org/officeDocument/2006/relationships/ctrlProp" Target="../ctrlProps/ctrlProp99.xml"/><Relationship Id="rId165" Type="http://schemas.openxmlformats.org/officeDocument/2006/relationships/hyperlink" Target="../../../../wubia/OneDrive%20-%20Longi%20Magnet%20Australia%20Pty%20ltd/Documents%20-%20Longi%20Australia/03%20Project%20Management/Client/HASTING/Yangibana/AT0049%20Tailing%20sample%20MS%20test" TargetMode="External"/><Relationship Id="rId372" Type="http://schemas.openxmlformats.org/officeDocument/2006/relationships/ctrlProp" Target="../ctrlProps/ctrlProp141.xml"/><Relationship Id="rId428" Type="http://schemas.openxmlformats.org/officeDocument/2006/relationships/ctrlProp" Target="../ctrlProps/ctrlProp197.xml"/><Relationship Id="rId232" Type="http://schemas.openxmlformats.org/officeDocument/2006/relationships/ctrlProp" Target="../ctrlProps/ctrlProp1.xml"/><Relationship Id="rId274" Type="http://schemas.openxmlformats.org/officeDocument/2006/relationships/ctrlProp" Target="../ctrlProps/ctrlProp43.xml"/><Relationship Id="rId27" Type="http://schemas.openxmlformats.org/officeDocument/2006/relationships/hyperlink" Target="../../../AppData/Roaming/Microsoft/Excel/Client/Athenas_Reource/Byro/AC0008%20General%20Inquiry" TargetMode="External"/><Relationship Id="rId69" Type="http://schemas.openxmlformats.org/officeDocument/2006/relationships/hyperlink" Target="../../../../wubia/OneDrive%20-%20Longi%20Magnet%20Australia%20Pty%20ltd/Documents%20-%20Longi%20Australia/03%20Project%20Management/Client/Blackore/Extension%20Hill/AT0019%20MS%20Testworks(HQ)" TargetMode="External"/><Relationship Id="rId134" Type="http://schemas.openxmlformats.org/officeDocument/2006/relationships/hyperlink" Target="../../../../wubia/OneDrive%20-%20Longi%20Magnet%20Australia%20Pty%20ltd/Documents%20-%20Longi%20Australia/03%20Project%20Management/Client/Covalent_Lithium/Mount%20Holland/AT0043%20Coarse%20DMS%20Cons%20MS%20Testwork" TargetMode="External"/><Relationship Id="rId80" Type="http://schemas.openxmlformats.org/officeDocument/2006/relationships/hyperlink" Target="../../../../wubia/OneDrive%20-%20Longi%20Magnet%20Australia%20Pty%20ltd/Documents%20-%20Longi%20Australia/03%20Project%20Management/Client/SIMEC/MEP%203/AQ0032%20LJC%20Budget" TargetMode="External"/><Relationship Id="rId176" Type="http://schemas.openxmlformats.org/officeDocument/2006/relationships/hyperlink" Target="../../../../wubia/OneDrive%20-%20Longi%20Magnet%20Australia%20Pty%20ltd/Documents%20-%20Longi%20Australia/03%20Project%20Management/Client/Grange/Savage%20River/AT0055%20CY25%20LJC%20Testwork" TargetMode="External"/><Relationship Id="rId341" Type="http://schemas.openxmlformats.org/officeDocument/2006/relationships/ctrlProp" Target="../ctrlProps/ctrlProp110.xml"/><Relationship Id="rId383" Type="http://schemas.openxmlformats.org/officeDocument/2006/relationships/ctrlProp" Target="../ctrlProps/ctrlProp152.xml"/><Relationship Id="rId439" Type="http://schemas.openxmlformats.org/officeDocument/2006/relationships/ctrlProp" Target="../ctrlProps/ctrlProp208.xml"/><Relationship Id="rId201" Type="http://schemas.openxmlformats.org/officeDocument/2006/relationships/hyperlink" Target="file:///C:\Users\wubia\OneDrive%20-%20Longi%20Magnet%20Australia%20Pty%20ltd\Documents%20-%20Longi%20Australia\03%20Project%20Management\Client\Dome_Gold\Sigatoka_Ironsands_Project\AQ0096%202679%20Sand%20Washing%20and%20Magnetite%20Recovery%20Plant" TargetMode="External"/><Relationship Id="rId243" Type="http://schemas.openxmlformats.org/officeDocument/2006/relationships/ctrlProp" Target="../ctrlProps/ctrlProp12.xml"/><Relationship Id="rId285" Type="http://schemas.openxmlformats.org/officeDocument/2006/relationships/ctrlProp" Target="../ctrlProps/ctrlProp54.xml"/><Relationship Id="rId450" Type="http://schemas.openxmlformats.org/officeDocument/2006/relationships/ctrlProp" Target="../ctrlProps/ctrlProp219.xml"/><Relationship Id="rId38" Type="http://schemas.openxmlformats.org/officeDocument/2006/relationships/hyperlink" Target="../../../AppData/Roaming/Microsoft/Excel/Client/Covalent_Lithium/Mount%20Holland/AQ0016%20Mount%20Holland%20Lithium%20Expansion" TargetMode="External"/><Relationship Id="rId103" Type="http://schemas.openxmlformats.org/officeDocument/2006/relationships/hyperlink" Target="../../../../wubia/OneDrive%20-%20Longi%20Magnet%20Australia%20Pty%20ltd/Documents%20-%20Longi%20Australia/03%20Project%20Management/Client/ALS/ALS%20Balcata/AQ0043%20LGS-500%20Rentel" TargetMode="External"/><Relationship Id="rId310" Type="http://schemas.openxmlformats.org/officeDocument/2006/relationships/ctrlProp" Target="../ctrlProps/ctrlProp79.xml"/><Relationship Id="rId91" Type="http://schemas.openxmlformats.org/officeDocument/2006/relationships/hyperlink" Target="../../../../wubia/OneDrive%20-%20Longi%20Magnet%20Australia%20Pty%20ltd/Documents%20-%20Longi%20Australia/03%20Project%20Management/Client/HanRoy/Mt%20Beavan/AT0028%20LCGF%20Pilot%20Testwork" TargetMode="External"/><Relationship Id="rId145" Type="http://schemas.openxmlformats.org/officeDocument/2006/relationships/hyperlink" Target="../../../../wubia/OneDrive%20-%20Longi%20Magnet%20Australia%20Pty%20ltd/Documents%20-%20Longi%20Australia/03%20Project%20Management/Client/MRL/TBA/AQ0062%20Stationary%20Tramp%20Iron%20Magnet" TargetMode="External"/><Relationship Id="rId187" Type="http://schemas.openxmlformats.org/officeDocument/2006/relationships/hyperlink" Target="file:///C:\Users\wubia\OneDrive%20-%20Longi%20Magnet%20Australia%20Pty%20ltd\Documents%20-%20Longi%20Australia\03%20Project%20Management\Client\YINGHUI_INTERNATIONAL\Recycling%20%20belt%20magnet\AQ0088%20Recycling%20plant%20RCY-C65%20%20Belt%20Magnet" TargetMode="External"/><Relationship Id="rId352" Type="http://schemas.openxmlformats.org/officeDocument/2006/relationships/ctrlProp" Target="../ctrlProps/ctrlProp121.xml"/><Relationship Id="rId394" Type="http://schemas.openxmlformats.org/officeDocument/2006/relationships/ctrlProp" Target="../ctrlProps/ctrlProp163.xml"/><Relationship Id="rId408" Type="http://schemas.openxmlformats.org/officeDocument/2006/relationships/ctrlProp" Target="../ctrlProps/ctrlProp177.xml"/><Relationship Id="rId212" Type="http://schemas.openxmlformats.org/officeDocument/2006/relationships/hyperlink" Target="file:///C:\Users\wubia\OneDrive%20-%20Longi%20Magnet%20Australia%20Pty%20ltd\Documents%20-%20Longi%20Australia\03%20Project%20Management\Client\Tanbreez_Mining\Tanbreez%20Project\AQ0104%20ENC%20Group%20Rare%20Earth%20Pilot%20Plant" TargetMode="External"/><Relationship Id="rId254" Type="http://schemas.openxmlformats.org/officeDocument/2006/relationships/ctrlProp" Target="../ctrlProps/ctrlProp23.xml"/><Relationship Id="rId49" Type="http://schemas.openxmlformats.org/officeDocument/2006/relationships/hyperlink" Target="../../../AppData/Roaming/Microsoft/Excel/Client/Magnetite_Mines/The%20Razorback&#160;/AC0012%20General%20Inquiry" TargetMode="External"/><Relationship Id="rId114" Type="http://schemas.openxmlformats.org/officeDocument/2006/relationships/hyperlink" Target="../../../../wubia/OneDrive%20-%20Longi%20Magnet%20Australia%20Pty%20ltd/Documents%20-%20Longi%20Australia/03%20Project%20Management/Client/FMG/Newman/AQ0050%20Second%20LGS500" TargetMode="External"/><Relationship Id="rId296" Type="http://schemas.openxmlformats.org/officeDocument/2006/relationships/ctrlProp" Target="../ctrlProps/ctrlProp65.xml"/><Relationship Id="rId461" Type="http://schemas.openxmlformats.org/officeDocument/2006/relationships/ctrlProp" Target="../ctrlProps/ctrlProp230.xml"/><Relationship Id="rId60" Type="http://schemas.openxmlformats.org/officeDocument/2006/relationships/hyperlink" Target="../../../AppData/Roaming/Microsoft/Excel/Client/MRL/Wodgina/AS0005%20WHIMS%20Service" TargetMode="External"/><Relationship Id="rId156" Type="http://schemas.openxmlformats.org/officeDocument/2006/relationships/hyperlink" Target="../../../../wubia/OneDrive%20-%20Longi%20Magnet%20Australia%20Pty%20ltd/Documents%20-%20Longi%20Australia/03%20Project%20Management/Client/Talison/Greenbush/AQ0072%20CGP3%20spares" TargetMode="External"/><Relationship Id="rId198" Type="http://schemas.openxmlformats.org/officeDocument/2006/relationships/hyperlink" Target="file:///C:\Users\wubia\OneDrive%20-%20Longi%20Magnet%20Australia%20Pty%20ltd\Documents%20-%20Longi%20Australia\03%20Project%20Management\Client\Wyoming_Rare_USA\Halleck%20Creek\AC0030%20General%20Inquiry" TargetMode="External"/><Relationship Id="rId321" Type="http://schemas.openxmlformats.org/officeDocument/2006/relationships/ctrlProp" Target="../ctrlProps/ctrlProp90.xml"/><Relationship Id="rId363" Type="http://schemas.openxmlformats.org/officeDocument/2006/relationships/ctrlProp" Target="../ctrlProps/ctrlProp132.xml"/><Relationship Id="rId419" Type="http://schemas.openxmlformats.org/officeDocument/2006/relationships/ctrlProp" Target="../ctrlProps/ctrlProp188.xml"/><Relationship Id="rId223" Type="http://schemas.openxmlformats.org/officeDocument/2006/relationships/hyperlink" Target="file:///C:\Users\wubia\OneDrive%20-%20Longi%20Magnet%20Australia%20Pty%20ltd\Documents%20-%20Longi%20Australia\03%20Project%20Management\Client\Norton\Binduli\AQ0111%20Semimobile%20Cruhsing%20Magnets" TargetMode="External"/><Relationship Id="rId430" Type="http://schemas.openxmlformats.org/officeDocument/2006/relationships/ctrlProp" Target="../ctrlProps/ctrlProp199.xml"/><Relationship Id="rId18" Type="http://schemas.openxmlformats.org/officeDocument/2006/relationships/hyperlink" Target="../../../AppData/Roaming/Microsoft/Excel/Client/Young_Steel/Snaefell/AC0006%20General%20Inquiry" TargetMode="External"/><Relationship Id="rId265" Type="http://schemas.openxmlformats.org/officeDocument/2006/relationships/ctrlProp" Target="../ctrlProps/ctrlProp34.xml"/><Relationship Id="rId125" Type="http://schemas.openxmlformats.org/officeDocument/2006/relationships/hyperlink" Target="../../../../wubia/OneDrive%20-%20Longi%20Magnet%20Australia%20Pty%20ltd/Documents%20-%20Longi%20Australia/03%20Project%20Management/Client/Magnetite_Mines/The%20Razorback&#160;/AT0040%20Dry%20Magnetic%20Separation%20Testwork" TargetMode="External"/><Relationship Id="rId167" Type="http://schemas.openxmlformats.org/officeDocument/2006/relationships/hyperlink" Target="../../../../wubia/OneDrive%20-%20Longi%20Magnet%20Australia%20Pty%20ltd/Documents%20-%20Longi%20Australia/03%20Project%20Management/Client/FMG/Eliwana/AT0051%20Hematite%20Dry%20Mag%20Sep" TargetMode="External"/><Relationship Id="rId332" Type="http://schemas.openxmlformats.org/officeDocument/2006/relationships/ctrlProp" Target="../ctrlProps/ctrlProp101.xml"/><Relationship Id="rId374" Type="http://schemas.openxmlformats.org/officeDocument/2006/relationships/ctrlProp" Target="../ctrlProps/ctrlProp143.xml"/><Relationship Id="rId71" Type="http://schemas.openxmlformats.org/officeDocument/2006/relationships/hyperlink" Target="../../../../wubia/OneDrive%20-%20Longi%20Magnet%20Australia%20Pty%20ltd/Documents%20-%20Longi%20Australia/03%20Project%20Management/Client/Riotinto/Green%20Steel/AT0021%20Greensteel%20WHIMS" TargetMode="External"/><Relationship Id="rId234" Type="http://schemas.openxmlformats.org/officeDocument/2006/relationships/ctrlProp" Target="../ctrlProps/ctrlProp3.xml"/><Relationship Id="rId2" Type="http://schemas.openxmlformats.org/officeDocument/2006/relationships/hyperlink" Target="../../../AppData/Roaming/Microsoft/Excel/Client/HanRoy/Ridley/AQ0010%20Ridley%20LIMS" TargetMode="External"/><Relationship Id="rId29" Type="http://schemas.openxmlformats.org/officeDocument/2006/relationships/hyperlink" Target="../../../AppData/Roaming/Microsoft/Excel/Client/FMG/Cloudbreak/AT0008%20WHIMS%20Testwork" TargetMode="External"/><Relationship Id="rId276" Type="http://schemas.openxmlformats.org/officeDocument/2006/relationships/ctrlProp" Target="../ctrlProps/ctrlProp45.xml"/><Relationship Id="rId441" Type="http://schemas.openxmlformats.org/officeDocument/2006/relationships/ctrlProp" Target="../ctrlProps/ctrlProp210.xml"/><Relationship Id="rId40" Type="http://schemas.openxmlformats.org/officeDocument/2006/relationships/hyperlink" Target="../../../AppData/Roaming/Microsoft/Excel/Client/Lion_Town/Kathleen%20Valley/AC0009%20Kathleen%20Valley%20Lithium%20&#8211;%20Tantalum%20Expansion%20Project" TargetMode="External"/><Relationship Id="rId115" Type="http://schemas.openxmlformats.org/officeDocument/2006/relationships/hyperlink" Target="../../../../wubia/OneDrive%20-%20Longi%20Magnet%20Australia%20Pty%20ltd/Documents%20-%20Longi%20Australia/03%20Project%20Management/Client/Cockatoo_Island_Mining/Cockatoo_Island/AT0033%20Magnetic%20Separation%20Testwork" TargetMode="External"/><Relationship Id="rId136" Type="http://schemas.openxmlformats.org/officeDocument/2006/relationships/hyperlink" Target="../../../../wubia/OneDrive%20-%20Longi%20Magnet%20Australia%20Pty%20ltd/Documents%20-%20Longi%20Australia/03%20Project%20Management/Client/Riotinto/Green%20Steel/AT0044%20Magnetic%20Separation%20Trial(LCGF)" TargetMode="External"/><Relationship Id="rId157" Type="http://schemas.openxmlformats.org/officeDocument/2006/relationships/hyperlink" Target="../../../../wubia/OneDrive%20-%20Longi%20Magnet%20Australia%20Pty%20ltd/Documents%20-%20Longi%20Australia/03%20Project%20Management/Client/Aurora_Construction_Materials/Quarry/AQ0071%20Static%20Magnet" TargetMode="External"/><Relationship Id="rId178" Type="http://schemas.openxmlformats.org/officeDocument/2006/relationships/hyperlink" Target="../../../../wubia/OneDrive%20-%20Longi%20Magnet%20Australia%20Pty%20ltd/Documents%20-%20Longi%20Australia/03%20Project%20Management/Client/Young_Steel/Snaefell/AT0057%20Leejun%20HPGR%20product" TargetMode="External"/><Relationship Id="rId301" Type="http://schemas.openxmlformats.org/officeDocument/2006/relationships/ctrlProp" Target="../ctrlProps/ctrlProp70.xml"/><Relationship Id="rId322" Type="http://schemas.openxmlformats.org/officeDocument/2006/relationships/ctrlProp" Target="../ctrlProps/ctrlProp91.xml"/><Relationship Id="rId343" Type="http://schemas.openxmlformats.org/officeDocument/2006/relationships/ctrlProp" Target="../ctrlProps/ctrlProp112.xml"/><Relationship Id="rId364" Type="http://schemas.openxmlformats.org/officeDocument/2006/relationships/ctrlProp" Target="../ctrlProps/ctrlProp133.xml"/><Relationship Id="rId61" Type="http://schemas.openxmlformats.org/officeDocument/2006/relationships/hyperlink" Target="../../../AppData/Roaming/Microsoft/Excel/Client/HanRoy/Ridley/AQ0024%20HI-RDLY-0109" TargetMode="External"/><Relationship Id="rId82" Type="http://schemas.openxmlformats.org/officeDocument/2006/relationships/hyperlink" Target="../../../../wubia/OneDrive%20-%20Longi%20Magnet%20Australia%20Pty%20ltd/Documents%20-%20Longi%20Australia/03%20Project%20Management/Client/MRL/Wodgina/AQ0033%20WHIMS%20SPARES" TargetMode="External"/><Relationship Id="rId199" Type="http://schemas.openxmlformats.org/officeDocument/2006/relationships/hyperlink" Target="file:///C:\Users\wubia\OneDrive%20-%20Longi%20Magnet%20Australia%20Pty%20ltd\Documents%20-%20Longi%20Australia\03%20Project%20Management\Client\BCI\Mardie%20Salt\AQ0094%20BCI%20Stcokyard%20Belt%20Magnet" TargetMode="External"/><Relationship Id="rId203" Type="http://schemas.openxmlformats.org/officeDocument/2006/relationships/hyperlink" Target="file:///C:\Users\wubia\OneDrive%20-%20Longi%20Magnet%20Australia%20Pty%20ltd\Documents%20-%20Longi%20Australia\03%20Project%20Management\Client\Hawsons_Iron\Hawsons%20Iron%20Project\AQ0098%20Magnetic%20Separators" TargetMode="External"/><Relationship Id="rId385" Type="http://schemas.openxmlformats.org/officeDocument/2006/relationships/ctrlProp" Target="../ctrlProps/ctrlProp154.xml"/><Relationship Id="rId19" Type="http://schemas.openxmlformats.org/officeDocument/2006/relationships/hyperlink" Target="../../../AppData/Roaming/Microsoft/Excel/Client/AVL/The%20Australian%20Vanadium%20Project/AC0005%20General%20Inquiry" TargetMode="External"/><Relationship Id="rId224" Type="http://schemas.openxmlformats.org/officeDocument/2006/relationships/hyperlink" Target="file:///C:\Users\wubia\OneDrive%20-%20Longi%20Magnet%20Australia%20Pty%20ltd\Documents%20-%20Longi%20Australia\03%20Project%20Management\Client\Loesche\Loesche\AQ0110%20Indian%20Mag%20Separation%20Enquiry" TargetMode="External"/><Relationship Id="rId245" Type="http://schemas.openxmlformats.org/officeDocument/2006/relationships/ctrlProp" Target="../ctrlProps/ctrlProp14.xml"/><Relationship Id="rId266" Type="http://schemas.openxmlformats.org/officeDocument/2006/relationships/ctrlProp" Target="../ctrlProps/ctrlProp35.xml"/><Relationship Id="rId287" Type="http://schemas.openxmlformats.org/officeDocument/2006/relationships/ctrlProp" Target="../ctrlProps/ctrlProp56.xml"/><Relationship Id="rId410" Type="http://schemas.openxmlformats.org/officeDocument/2006/relationships/ctrlProp" Target="../ctrlProps/ctrlProp179.xml"/><Relationship Id="rId431" Type="http://schemas.openxmlformats.org/officeDocument/2006/relationships/ctrlProp" Target="../ctrlProps/ctrlProp200.xml"/><Relationship Id="rId452" Type="http://schemas.openxmlformats.org/officeDocument/2006/relationships/ctrlProp" Target="../ctrlProps/ctrlProp221.xml"/><Relationship Id="rId30" Type="http://schemas.openxmlformats.org/officeDocument/2006/relationships/hyperlink" Target="../../../AppData/Roaming/Microsoft/Excel/Client/FMG/Christmas%20Creek&#160;/AP0001%20Spare%20Parts" TargetMode="External"/><Relationship Id="rId105" Type="http://schemas.openxmlformats.org/officeDocument/2006/relationships/hyperlink" Target="../../../../wubia/OneDrive%20-%20Longi%20Magnet%20Australia%20Pty%20ltd/Documents%20-%20Longi%20Australia/03%20Project%20Management/Client/Talison/AQ0045%20CGP2%20COMPLETE%20CHANGE" TargetMode="External"/><Relationship Id="rId126" Type="http://schemas.openxmlformats.org/officeDocument/2006/relationships/hyperlink" Target="../../../../wubia/OneDrive%20-%20Longi%20Magnet%20Australia%20Pty%20ltd/Documents%20-%20Longi%20Australia/03%20Project%20Management/Client/FMG/Christmas%20Creek&#160;/AS0010%20WHIMS%20Service" TargetMode="External"/><Relationship Id="rId147" Type="http://schemas.openxmlformats.org/officeDocument/2006/relationships/hyperlink" Target="../../../../wubia/OneDrive%20-%20Longi%20Magnet%20Australia%20Pty%20ltd/Documents%20-%20Longi%20Australia/03%20Project%20Management/Client/Glencore/Ravensworth_Coal%20/AQ0063%20Replace%20MSR2301%20and%20MSR3301" TargetMode="External"/><Relationship Id="rId168" Type="http://schemas.openxmlformats.org/officeDocument/2006/relationships/hyperlink" Target="../../../../wubia/OneDrive%20-%20Longi%20Magnet%20Australia%20Pty%20ltd/Documents%20-%20Longi%20Australia/03%20Project%20Management/Client/Havilah_Resources/GRANTS_GRANTS_BASIN/AT0052%20Dry%20Magnetic%20Separation%20Testwork" TargetMode="External"/><Relationship Id="rId312" Type="http://schemas.openxmlformats.org/officeDocument/2006/relationships/ctrlProp" Target="../ctrlProps/ctrlProp81.xml"/><Relationship Id="rId333" Type="http://schemas.openxmlformats.org/officeDocument/2006/relationships/ctrlProp" Target="../ctrlProps/ctrlProp102.xml"/><Relationship Id="rId354" Type="http://schemas.openxmlformats.org/officeDocument/2006/relationships/ctrlProp" Target="../ctrlProps/ctrlProp123.xml"/><Relationship Id="rId51" Type="http://schemas.openxmlformats.org/officeDocument/2006/relationships/hyperlink" Target="../../../AppData/Roaming/Microsoft/Excel/Client/Riotinto/Tom%20Price/AQ0020%20Replacing%20Magnetic%20Separators" TargetMode="External"/><Relationship Id="rId72" Type="http://schemas.openxmlformats.org/officeDocument/2006/relationships/hyperlink" Target="../../../../wubia/OneDrive%20-%20Longi%20Magnet%20Australia%20Pty%20ltd/Documents%20-%20Longi%20Australia/03%20Project%20Management/Client/SIMEC/MEP%201/AT0022%20LJC%20Pilot%20Test" TargetMode="External"/><Relationship Id="rId93" Type="http://schemas.openxmlformats.org/officeDocument/2006/relationships/hyperlink" Target="../../../../wubia/OneDrive%20-%20Longi%20Magnet%20Australia%20Pty%20ltd/Documents%20-%20Longi%20Australia/03%20Project%20Management/Client/Nagrom/Nagrom/AC0017%20General%20Inquiry" TargetMode="External"/><Relationship Id="rId189" Type="http://schemas.openxmlformats.org/officeDocument/2006/relationships/hyperlink" Target="file:///C:\Users\wubia\OneDrive%20-%20Longi%20Magnet%20Australia%20Pty%20ltd\Documents%20-%20Longi%20Australia\03%20Project%20Management\Client\Norton\Binduli\AS0013%20General%20Service" TargetMode="External"/><Relationship Id="rId375" Type="http://schemas.openxmlformats.org/officeDocument/2006/relationships/ctrlProp" Target="../ctrlProps/ctrlProp144.xml"/><Relationship Id="rId396" Type="http://schemas.openxmlformats.org/officeDocument/2006/relationships/ctrlProp" Target="../ctrlProps/ctrlProp165.xml"/><Relationship Id="rId3" Type="http://schemas.openxmlformats.org/officeDocument/2006/relationships/hyperlink" Target="../../../AppData/Roaming/Microsoft/Excel/Client/SIMEC/MEP%201/AC0001%20General%20Inquiry" TargetMode="External"/><Relationship Id="rId214" Type="http://schemas.openxmlformats.org/officeDocument/2006/relationships/hyperlink" Target="file:///C:\Users\wubia\OneDrive%20-%20Longi%20Magnet%20Australia%20Pty%20ltd\Documents%20-%20Longi%20Australia\03%20Project%20Management\Client\Athenas_Reource\Byro\AT0061%20Metallurgical%20Testworks" TargetMode="External"/><Relationship Id="rId235" Type="http://schemas.openxmlformats.org/officeDocument/2006/relationships/ctrlProp" Target="../ctrlProps/ctrlProp4.xml"/><Relationship Id="rId256" Type="http://schemas.openxmlformats.org/officeDocument/2006/relationships/ctrlProp" Target="../ctrlProps/ctrlProp25.xml"/><Relationship Id="rId277" Type="http://schemas.openxmlformats.org/officeDocument/2006/relationships/ctrlProp" Target="../ctrlProps/ctrlProp46.xml"/><Relationship Id="rId298" Type="http://schemas.openxmlformats.org/officeDocument/2006/relationships/ctrlProp" Target="../ctrlProps/ctrlProp67.xml"/><Relationship Id="rId400" Type="http://schemas.openxmlformats.org/officeDocument/2006/relationships/ctrlProp" Target="../ctrlProps/ctrlProp169.xml"/><Relationship Id="rId421" Type="http://schemas.openxmlformats.org/officeDocument/2006/relationships/ctrlProp" Target="../ctrlProps/ctrlProp190.xml"/><Relationship Id="rId442" Type="http://schemas.openxmlformats.org/officeDocument/2006/relationships/ctrlProp" Target="../ctrlProps/ctrlProp211.xml"/><Relationship Id="rId116" Type="http://schemas.openxmlformats.org/officeDocument/2006/relationships/hyperlink" Target="../../../../wubia/OneDrive%20-%20Longi%20Magnet%20Australia%20Pty%20ltd/Documents%20-%20Longi%20Australia/03%20Project%20Management/Client/Karawara_Minerals/Broula_Magnetite/AC0020%20General%20Inquiry" TargetMode="External"/><Relationship Id="rId137" Type="http://schemas.openxmlformats.org/officeDocument/2006/relationships/hyperlink" Target="../../../../wubia/OneDrive%20-%20Longi%20Magnet%20Australia%20Pty%20ltd/Documents%20-%20Longi%20Australia/03%20Project%20Management/Client/Riotinto/Unknown/AQ0058%20Modular%20Concentrator%20Conceptual%20Study(FOC)" TargetMode="External"/><Relationship Id="rId158" Type="http://schemas.openxmlformats.org/officeDocument/2006/relationships/hyperlink" Target="../../../../wubia/OneDrive%20-%20Longi%20Magnet%20Australia%20Pty%20ltd/Documents%20-%20Longi%20Australia/03%20Project%20Management/Client/%20Savannah_Resources/Barroso%20Lithium%20Project(Portugal)/AQ0073%20B069-D02-07280-RQ-0001(WHIMS%20&amp;%20LIMS)" TargetMode="External"/><Relationship Id="rId302" Type="http://schemas.openxmlformats.org/officeDocument/2006/relationships/ctrlProp" Target="../ctrlProps/ctrlProp71.xml"/><Relationship Id="rId323" Type="http://schemas.openxmlformats.org/officeDocument/2006/relationships/ctrlProp" Target="../ctrlProps/ctrlProp92.xml"/><Relationship Id="rId344" Type="http://schemas.openxmlformats.org/officeDocument/2006/relationships/ctrlProp" Target="../ctrlProps/ctrlProp113.xml"/><Relationship Id="rId20" Type="http://schemas.openxmlformats.org/officeDocument/2006/relationships/hyperlink" Target="../../../AppData/Roaming/Microsoft/Excel/Client/Globel_Lithium/Manna%20Lithium/AT0003%20General%20Inquiry" TargetMode="External"/><Relationship Id="rId41" Type="http://schemas.openxmlformats.org/officeDocument/2006/relationships/hyperlink" Target="../../../AppData/Roaming/Microsoft/Excel/Client/Lion_Town/Buldania/AC0010%20Buldania" TargetMode="External"/><Relationship Id="rId62" Type="http://schemas.openxmlformats.org/officeDocument/2006/relationships/hyperlink" Target="../../../AppData/Roaming/Microsoft/Excel/Client/Blackore/Liberia%20Bang/AT0018%20LJC%20Testwork" TargetMode="External"/><Relationship Id="rId83" Type="http://schemas.openxmlformats.org/officeDocument/2006/relationships/hyperlink" Target="../../../../wubia/OneDrive%20-%20Longi%20Magnet%20Australia%20Pty%20ltd/Documents%20-%20Longi%20Australia/03%20Project%20Management/Client/MNREC/Khalzan_Buregtei/AT0025%20WHIMS%20Pilot" TargetMode="External"/><Relationship Id="rId179" Type="http://schemas.openxmlformats.org/officeDocument/2006/relationships/hyperlink" Target="../../../../wubia/OneDrive%20-%20Longi%20Magnet%20Australia%20Pty%20ltd/Documents%20-%20Longi%20Australia/03%20Project%20Management/Client/Norton/Binduli/AQ0081%20Upgrade%20Tramp%20Magnets%20Assembly%20Binduli" TargetMode="External"/><Relationship Id="rId365" Type="http://schemas.openxmlformats.org/officeDocument/2006/relationships/ctrlProp" Target="../ctrlProps/ctrlProp134.xml"/><Relationship Id="rId386" Type="http://schemas.openxmlformats.org/officeDocument/2006/relationships/ctrlProp" Target="../ctrlProps/ctrlProp155.xml"/><Relationship Id="rId190" Type="http://schemas.openxmlformats.org/officeDocument/2006/relationships/hyperlink" Target="file:///C:\Users\wubia\OneDrive%20-%20Longi%20Magnet%20Australia%20Pty%20ltd\Documents%20-%20Longi%20Australia\03%20Project%20Management\Client\Terra_mining\Extension%20Hill\AQ0089%203rd%20DMS%20Unit" TargetMode="External"/><Relationship Id="rId204" Type="http://schemas.openxmlformats.org/officeDocument/2006/relationships/hyperlink" Target="file:///C:\Users\wubia\OneDrive%20-%20Longi%20Magnet%20Australia%20Pty%20ltd\Documents%20-%20Longi%20Australia\03%20Project%20Management\Client\GM_3\Dendrobium%20Mine\AQ0099%20MS%20Drum%20Replacement" TargetMode="External"/><Relationship Id="rId225" Type="http://schemas.openxmlformats.org/officeDocument/2006/relationships/hyperlink" Target="file:///C:\Users\wubia\OneDrive%20-%20Longi%20Magnet%20Australia%20Pty%20ltd\Documents%20-%20Longi%20Australia\03%20Project%20Management\Client\Karara_Mining\Karara\AT0064%20Dry%20Magnetic%20Separation%20Testwork" TargetMode="External"/><Relationship Id="rId246" Type="http://schemas.openxmlformats.org/officeDocument/2006/relationships/ctrlProp" Target="../ctrlProps/ctrlProp15.xml"/><Relationship Id="rId267" Type="http://schemas.openxmlformats.org/officeDocument/2006/relationships/ctrlProp" Target="../ctrlProps/ctrlProp36.xml"/><Relationship Id="rId288" Type="http://schemas.openxmlformats.org/officeDocument/2006/relationships/ctrlProp" Target="../ctrlProps/ctrlProp57.xml"/><Relationship Id="rId411" Type="http://schemas.openxmlformats.org/officeDocument/2006/relationships/ctrlProp" Target="../ctrlProps/ctrlProp180.xml"/><Relationship Id="rId432" Type="http://schemas.openxmlformats.org/officeDocument/2006/relationships/ctrlProp" Target="../ctrlProps/ctrlProp201.xml"/><Relationship Id="rId453" Type="http://schemas.openxmlformats.org/officeDocument/2006/relationships/ctrlProp" Target="../ctrlProps/ctrlProp222.xml"/><Relationship Id="rId106" Type="http://schemas.openxmlformats.org/officeDocument/2006/relationships/hyperlink" Target="../../../../wubia/OneDrive%20-%20Longi%20Magnet%20Australia%20Pty%20ltd/Documents%20-%20Longi%20Australia/03%20Project%20Management/Client/MRL/Wodgina/AP0003%20Spare%20Parts" TargetMode="External"/><Relationship Id="rId127" Type="http://schemas.openxmlformats.org/officeDocument/2006/relationships/hyperlink" Target="../../../../wubia/OneDrive%20-%20Longi%20Magnet%20Australia%20Pty%20ltd/Documents%20-%20Longi%20Australia/03%20Project%20Management/Client/FMG/Iron%20Bridge/AQ0053%20Dry%20Magnetic%20Separation%20Drum%20Replacement" TargetMode="External"/><Relationship Id="rId313" Type="http://schemas.openxmlformats.org/officeDocument/2006/relationships/ctrlProp" Target="../ctrlProps/ctrlProp82.xml"/><Relationship Id="rId10" Type="http://schemas.openxmlformats.org/officeDocument/2006/relationships/hyperlink" Target="../../../AppData/Roaming/Microsoft/Excel/Client/Globel_Lithium/Manna%20Lithium/AQ0002%20Manna%20lithium%20DFS" TargetMode="External"/><Relationship Id="rId31" Type="http://schemas.openxmlformats.org/officeDocument/2006/relationships/hyperlink" Target="../../../AppData/Roaming/Microsoft/Excel/Client/FMG/Solomon/AT0009%20WHIMS%20Testwork" TargetMode="External"/><Relationship Id="rId52" Type="http://schemas.openxmlformats.org/officeDocument/2006/relationships/hyperlink" Target="../../../AppData/Roaming/Microsoft/Excel/Client/FMG/Iron%20Bridge/AQ0021%20RMS%20Replacement" TargetMode="External"/><Relationship Id="rId73" Type="http://schemas.openxmlformats.org/officeDocument/2006/relationships/hyperlink" Target="../../../../wubia/OneDrive%20-%20Longi%20Magnet%20Australia%20Pty%20ltd/Documents%20-%20Longi%20Australia/03%20Project%20Management/Client/PEABODY_ENERGY/WINBO/AQ0028%20HMDS%20Drum%20Replacment" TargetMode="External"/><Relationship Id="rId94" Type="http://schemas.openxmlformats.org/officeDocument/2006/relationships/hyperlink" Target="../../../../wubia/OneDrive%20-%20Longi%20Magnet%20Australia%20Pty%20ltd/Documents%20-%20Longi%20Australia/03%20Project%20Management/Client/SIMEC/MEP%201/AQ0037%20DLIMS%20FS%20MT" TargetMode="External"/><Relationship Id="rId148" Type="http://schemas.openxmlformats.org/officeDocument/2006/relationships/hyperlink" Target="../../../../wubia/OneDrive%20-%20Longi%20Magnet%20Australia%20Pty%20ltd/Documents%20-%20Longi%20Australia/03%20Project%20Management/Client/FMG/Iron%20Bridge/AQ0064%20LJK%20Package%20For%20CV301" TargetMode="External"/><Relationship Id="rId169" Type="http://schemas.openxmlformats.org/officeDocument/2006/relationships/hyperlink" Target="../../../../wubia/OneDrive%20-%20Longi%20Magnet%20Australia%20Pty%20ltd/Documents%20-%20Longi%20Australia/03%20Project%20Management/Client/Terra_mining/Extension%20Hill/AS0012%20LCGJ%20DMS" TargetMode="External"/><Relationship Id="rId334" Type="http://schemas.openxmlformats.org/officeDocument/2006/relationships/ctrlProp" Target="../ctrlProps/ctrlProp103.xml"/><Relationship Id="rId355" Type="http://schemas.openxmlformats.org/officeDocument/2006/relationships/ctrlProp" Target="../ctrlProps/ctrlProp124.xml"/><Relationship Id="rId376" Type="http://schemas.openxmlformats.org/officeDocument/2006/relationships/ctrlProp" Target="../ctrlProps/ctrlProp145.xml"/><Relationship Id="rId397" Type="http://schemas.openxmlformats.org/officeDocument/2006/relationships/ctrlProp" Target="../ctrlProps/ctrlProp166.xml"/><Relationship Id="rId4" Type="http://schemas.openxmlformats.org/officeDocument/2006/relationships/hyperlink" Target="../../../AppData/Roaming/Microsoft/Excel/Client/SIMEC/MEP%202/AC0002%20General%20Inquiry" TargetMode="External"/><Relationship Id="rId180" Type="http://schemas.openxmlformats.org/officeDocument/2006/relationships/hyperlink" Target="../../../../wubia/OneDrive%20-%20Longi%20Magnet%20Australia%20Pty%20ltd/Documents%20-%20Longi%20Australia/03%20Project%20Management/Client/Norton/Binduli/AQ0082%20One-off%20Discount%20to%20Support%20MG201%20Replacement" TargetMode="External"/><Relationship Id="rId215" Type="http://schemas.openxmlformats.org/officeDocument/2006/relationships/hyperlink" Target="file:///C:\Users\wubia\OneDrive%20-%20Longi%20Magnet%20Australia%20Pty%20ltd\Documents%20-%20Longi%20Australia\03%20Project%20Management\Client\Ridge\TBA\AQ0106%20Tramp%20Metal%20Magnets(RCDFJ-16-T4)" TargetMode="External"/><Relationship Id="rId236" Type="http://schemas.openxmlformats.org/officeDocument/2006/relationships/ctrlProp" Target="../ctrlProps/ctrlProp5.xml"/><Relationship Id="rId257" Type="http://schemas.openxmlformats.org/officeDocument/2006/relationships/ctrlProp" Target="../ctrlProps/ctrlProp26.xml"/><Relationship Id="rId278" Type="http://schemas.openxmlformats.org/officeDocument/2006/relationships/ctrlProp" Target="../ctrlProps/ctrlProp47.xml"/><Relationship Id="rId401" Type="http://schemas.openxmlformats.org/officeDocument/2006/relationships/ctrlProp" Target="../ctrlProps/ctrlProp170.xml"/><Relationship Id="rId422" Type="http://schemas.openxmlformats.org/officeDocument/2006/relationships/ctrlProp" Target="../ctrlProps/ctrlProp191.xml"/><Relationship Id="rId443" Type="http://schemas.openxmlformats.org/officeDocument/2006/relationships/ctrlProp" Target="../ctrlProps/ctrlProp212.xml"/><Relationship Id="rId303" Type="http://schemas.openxmlformats.org/officeDocument/2006/relationships/ctrlProp" Target="../ctrlProps/ctrlProp72.xml"/><Relationship Id="rId42" Type="http://schemas.openxmlformats.org/officeDocument/2006/relationships/hyperlink" Target="../../../AppData/Roaming/Microsoft/Excel/Client/Karara_Mining/Karara/AQ0017%20Spray%20bar" TargetMode="External"/><Relationship Id="rId84" Type="http://schemas.openxmlformats.org/officeDocument/2006/relationships/hyperlink" Target="../../../../wubia/OneDrive%20-%20Longi%20Magnet%20Australia%20Pty%20ltd/Documents%20-%20Longi%20Australia/03%20Project%20Management/Client/Trenel/Trenel/AT0026%20Minral%20sand%20MS%20testwork" TargetMode="External"/><Relationship Id="rId138" Type="http://schemas.openxmlformats.org/officeDocument/2006/relationships/hyperlink" Target="../../../../wubia/OneDrive%20-%20Longi%20Magnet%20Australia%20Pty%20ltd/Documents%20-%20Longi%20Australia/03%20Project%20Management/Client/MRL/Mt%20Marion/AT0045%20Coarse%20MS%20Testwork" TargetMode="External"/><Relationship Id="rId345" Type="http://schemas.openxmlformats.org/officeDocument/2006/relationships/ctrlProp" Target="../ctrlProps/ctrlProp114.xml"/><Relationship Id="rId387" Type="http://schemas.openxmlformats.org/officeDocument/2006/relationships/ctrlProp" Target="../ctrlProps/ctrlProp156.xml"/><Relationship Id="rId191" Type="http://schemas.openxmlformats.org/officeDocument/2006/relationships/hyperlink" Target="file:///C:\Users\wubia\OneDrive%20-%20Longi%20Magnet%20Australia%20Pty%20ltd\Documents%20-%20Longi%20Australia\03%20Project%20Management\Client\Northern_Iron\Northern%20Iron\AQ0090%20Iron%20Concentrate%20Desliming%20project" TargetMode="External"/><Relationship Id="rId205" Type="http://schemas.openxmlformats.org/officeDocument/2006/relationships/hyperlink" Target="file:///C:\Users\wubia\OneDrive%20-%20Longi%20Magnet%20Australia%20Pty%20ltd\Documents%20-%20Longi%20Australia\03%20Project%20Management\Client\Critica_Limited\Jupiter\AT0059%20WHIMS%20Testwork" TargetMode="External"/><Relationship Id="rId247" Type="http://schemas.openxmlformats.org/officeDocument/2006/relationships/ctrlProp" Target="../ctrlProps/ctrlProp16.xml"/><Relationship Id="rId412" Type="http://schemas.openxmlformats.org/officeDocument/2006/relationships/ctrlProp" Target="../ctrlProps/ctrlProp181.xml"/><Relationship Id="rId107" Type="http://schemas.openxmlformats.org/officeDocument/2006/relationships/hyperlink" Target="../../../../wubia/OneDrive%20-%20Longi%20Magnet%20Australia%20Pty%20ltd/Documents%20-%20Longi%20Australia/03%20Project%20Management/Client/Magnetite_Mines/The%20Razorback&#160;/AT0031%20LCGF%20%20Trial" TargetMode="External"/><Relationship Id="rId289" Type="http://schemas.openxmlformats.org/officeDocument/2006/relationships/ctrlProp" Target="../ctrlProps/ctrlProp58.xml"/><Relationship Id="rId454" Type="http://schemas.openxmlformats.org/officeDocument/2006/relationships/ctrlProp" Target="../ctrlProps/ctrlProp223.xml"/><Relationship Id="rId11" Type="http://schemas.openxmlformats.org/officeDocument/2006/relationships/hyperlink" Target="../../../AppData/Roaming/Microsoft/Excel/Client/KUREEM/KUREEM/AQ0003%20KUREEM%20Project%20Pilot%20Plant" TargetMode="External"/><Relationship Id="rId53" Type="http://schemas.openxmlformats.org/officeDocument/2006/relationships/hyperlink" Target="../../../AppData/Roaming/Microsoft/Excel/Client/MRL/Mt%20Marion/AQ0022%20LIMS%20and%20WHIMS(Minsol)" TargetMode="External"/><Relationship Id="rId149" Type="http://schemas.openxmlformats.org/officeDocument/2006/relationships/hyperlink" Target="../../../../wubia/OneDrive%20-%20Longi%20Magnet%20Australia%20Pty%20ltd/Documents%20-%20Longi%20Australia/03%20Project%20Management/Client/FMG/Christmas%20Creek&#160;/AQ0065%20Green%20Steel%20Pilot%20Plant" TargetMode="External"/><Relationship Id="rId314" Type="http://schemas.openxmlformats.org/officeDocument/2006/relationships/ctrlProp" Target="../ctrlProps/ctrlProp83.xml"/><Relationship Id="rId356" Type="http://schemas.openxmlformats.org/officeDocument/2006/relationships/ctrlProp" Target="../ctrlProps/ctrlProp125.xml"/><Relationship Id="rId398" Type="http://schemas.openxmlformats.org/officeDocument/2006/relationships/ctrlProp" Target="../ctrlProps/ctrlProp167.xml"/><Relationship Id="rId95" Type="http://schemas.openxmlformats.org/officeDocument/2006/relationships/hyperlink" Target="../../../../wubia/OneDrive%20-%20Longi%20Magnet%20Australia%20Pty%20ltd/Documents%20-%20Longi%20Australia/03%20Project%20Management/Client/MNREC/Khalzan_Buregtei/AQ0038%20WHIMS%20PFS" TargetMode="External"/><Relationship Id="rId160" Type="http://schemas.openxmlformats.org/officeDocument/2006/relationships/hyperlink" Target="../../../../wubia/OneDrive%20-%20Longi%20Magnet%20Australia%20Pty%20ltd/Documents%20-%20Longi%20Australia/03%20Project%20Management/Client/Tungsten_Mining/Mt_Mulgine/AC0025%20General%20Inquiry" TargetMode="External"/><Relationship Id="rId216" Type="http://schemas.openxmlformats.org/officeDocument/2006/relationships/hyperlink" Target="file:///C:\Users\wubia\OneDrive%20-%20Longi%20Magnet%20Australia%20Pty%20ltd\Documents%20-%20Longi%20Australia\03%20Project%20Management\Client\Oscar_Resources\Mt%20Oscar%20Iron%20Ore%20Project\AT0062%20Metallurgical%20Testworks" TargetMode="External"/><Relationship Id="rId423" Type="http://schemas.openxmlformats.org/officeDocument/2006/relationships/ctrlProp" Target="../ctrlProps/ctrlProp192.xml"/><Relationship Id="rId258" Type="http://schemas.openxmlformats.org/officeDocument/2006/relationships/ctrlProp" Target="../ctrlProps/ctrlProp27.xml"/><Relationship Id="rId22" Type="http://schemas.openxmlformats.org/officeDocument/2006/relationships/hyperlink" Target="../../../AppData/Roaming/Microsoft/Excel/Client/HanRoy/Ridley/AT0005%20LJC%20Fiber%20Removal%20Testwork" TargetMode="External"/><Relationship Id="rId64" Type="http://schemas.openxmlformats.org/officeDocument/2006/relationships/hyperlink" Target="../../../../wubia/OneDrive%20-%20Longi%20Magnet%20Australia%20Pty%20ltd/Documents%20-%20Longi%20Australia/03%20Project%20Management/Client/SIMEC/MEP%201/AQ0026%20Metal%20Detector" TargetMode="External"/><Relationship Id="rId118" Type="http://schemas.openxmlformats.org/officeDocument/2006/relationships/hyperlink" Target="../../../../wubia/OneDrive%20-%20Longi%20Magnet%20Australia%20Pty%20ltd/Documents%20-%20Longi%20Australia/03%20Project%20Management/Client/Roy_Hill/Roy_Hill/AT0034%20Cyclone%20OF%20Recovery%20Testwork" TargetMode="External"/><Relationship Id="rId325" Type="http://schemas.openxmlformats.org/officeDocument/2006/relationships/ctrlProp" Target="../ctrlProps/ctrlProp94.xml"/><Relationship Id="rId367" Type="http://schemas.openxmlformats.org/officeDocument/2006/relationships/ctrlProp" Target="../ctrlProps/ctrlProp136.xml"/><Relationship Id="rId171" Type="http://schemas.openxmlformats.org/officeDocument/2006/relationships/hyperlink" Target="../../../../wubia/OneDrive%20-%20Longi%20Magnet%20Australia%20Pty%20ltd/Documents%20-%20Longi%20Australia/03%20Project%20Management/Client/Cockatoo_Island_Mining/Cockatoo_Island/AQ0077%20High%20Strength%20Dry%20Mag%20Separation%20Mod%20Plant" TargetMode="External"/><Relationship Id="rId227" Type="http://schemas.openxmlformats.org/officeDocument/2006/relationships/hyperlink" Target="file:///C:\Users\wubia\OneDrive%20-%20Longi%20Magnet%20Australia%20Pty%20ltd\Documents%20-%20Longi%20Australia\03%20Project%20Management\Client\Grange\Savage%20River\AQ0113%20Semimobile%20crushing%20and%20Dry%20mag%20sepration%20plant" TargetMode="External"/><Relationship Id="rId269" Type="http://schemas.openxmlformats.org/officeDocument/2006/relationships/ctrlProp" Target="../ctrlProps/ctrlProp38.xml"/><Relationship Id="rId434" Type="http://schemas.openxmlformats.org/officeDocument/2006/relationships/ctrlProp" Target="../ctrlProps/ctrlProp203.xml"/><Relationship Id="rId33" Type="http://schemas.openxmlformats.org/officeDocument/2006/relationships/hyperlink" Target="../../../AppData/Roaming/Microsoft/Excel/Client/TBA/TBA%201/AQ0014%20LIMS+WHIMS" TargetMode="External"/><Relationship Id="rId129" Type="http://schemas.openxmlformats.org/officeDocument/2006/relationships/hyperlink" Target="../../../../wubia/OneDrive%20-%20Longi%20Magnet%20Australia%20Pty%20ltd/Documents%20-%20Longi%20Australia/03%20Project%20Management/Client/FMG/Kings/AC0021%20%20OPF%20Tails%20Scavenging%20Testwork" TargetMode="External"/><Relationship Id="rId280" Type="http://schemas.openxmlformats.org/officeDocument/2006/relationships/ctrlProp" Target="../ctrlProps/ctrlProp49.xml"/><Relationship Id="rId336" Type="http://schemas.openxmlformats.org/officeDocument/2006/relationships/ctrlProp" Target="../ctrlProps/ctrlProp105.xml"/><Relationship Id="rId75" Type="http://schemas.openxmlformats.org/officeDocument/2006/relationships/hyperlink" Target="../../../../wubia/OneDrive%20-%20Longi%20Magnet%20Australia%20Pty%20ltd/Documents%20-%20Longi%20Australia/03%20Project%20Management/Client/SIMEC/MEP%201/AT0024%20LCGF%20Testwork" TargetMode="External"/><Relationship Id="rId140" Type="http://schemas.openxmlformats.org/officeDocument/2006/relationships/hyperlink" Target="../../../../wubia/OneDrive%20-%20Longi%20Magnet%20Australia%20Pty%20ltd/Documents%20-%20Longi%20Australia/03%20Project%20Management/Client/LMA/Warehouse/AQ0059%20LGS-100" TargetMode="External"/><Relationship Id="rId182" Type="http://schemas.openxmlformats.org/officeDocument/2006/relationships/hyperlink" Target="../../../../wubia/OneDrive%20-%20Longi%20Magnet%20Australia%20Pty%20ltd/Documents%20-%20Longi%20Australia/03%20Project%20Management/Client/Terra_mining/Extension%20Hill/AQ0084%20%20Second%20DMS%20Modular%20Plant%20(DMS%20Assembly%20&amp;%20Platform)" TargetMode="External"/><Relationship Id="rId378" Type="http://schemas.openxmlformats.org/officeDocument/2006/relationships/ctrlProp" Target="../ctrlProps/ctrlProp147.xml"/><Relationship Id="rId403" Type="http://schemas.openxmlformats.org/officeDocument/2006/relationships/ctrlProp" Target="../ctrlProps/ctrlProp172.xml"/><Relationship Id="rId6" Type="http://schemas.openxmlformats.org/officeDocument/2006/relationships/hyperlink" Target="../../../AppData/Roaming/Microsoft/Excel/Client/HanRoy/Mt%20Beavan/AQ0011%20DMS" TargetMode="External"/><Relationship Id="rId238" Type="http://schemas.openxmlformats.org/officeDocument/2006/relationships/ctrlProp" Target="../ctrlProps/ctrlProp7.xml"/><Relationship Id="rId445" Type="http://schemas.openxmlformats.org/officeDocument/2006/relationships/ctrlProp" Target="../ctrlProps/ctrlProp214.xml"/><Relationship Id="rId291" Type="http://schemas.openxmlformats.org/officeDocument/2006/relationships/ctrlProp" Target="../ctrlProps/ctrlProp60.xml"/><Relationship Id="rId305" Type="http://schemas.openxmlformats.org/officeDocument/2006/relationships/ctrlProp" Target="../ctrlProps/ctrlProp74.xml"/><Relationship Id="rId347" Type="http://schemas.openxmlformats.org/officeDocument/2006/relationships/ctrlProp" Target="../ctrlProps/ctrlProp116.xml"/><Relationship Id="rId44" Type="http://schemas.openxmlformats.org/officeDocument/2006/relationships/hyperlink" Target="../../../AppData/Roaming/Microsoft/Excel/Client/Blackore/Extension%20Hill/AQ0018%20DLIMS" TargetMode="External"/><Relationship Id="rId86" Type="http://schemas.openxmlformats.org/officeDocument/2006/relationships/hyperlink" Target="../../../../wubia/OneDrive%20-%20Longi%20Magnet%20Australia%20Pty%20ltd/Documents%20-%20Longi%20Australia/03%20Project%20Management/Client/Trenel/Trenel/AT0027%20TRENEL" TargetMode="External"/><Relationship Id="rId151" Type="http://schemas.openxmlformats.org/officeDocument/2006/relationships/hyperlink" Target="../../../../wubia/OneDrive%20-%20Longi%20Magnet%20Australia%20Pty%20ltd/Documents%20-%20Longi%20Australia/03%20Project%20Management/Client/Bravus_Mining&amp;Resuroces/Carmichael/AQ0066%20HMDS%20Drum" TargetMode="External"/><Relationship Id="rId389" Type="http://schemas.openxmlformats.org/officeDocument/2006/relationships/ctrlProp" Target="../ctrlProps/ctrlProp158.xml"/><Relationship Id="rId193" Type="http://schemas.openxmlformats.org/officeDocument/2006/relationships/hyperlink" Target="file:///C:\Users\wubia\OneDrive%20-%20Longi%20Magnet%20Australia%20Pty%20ltd\Documents%20-%20Longi%20Australia\03%20Project%20Management\Client\Tanbreez_Mining\Tanbreez%20Project\AC0027%20General%20Inquiry" TargetMode="External"/><Relationship Id="rId207" Type="http://schemas.openxmlformats.org/officeDocument/2006/relationships/hyperlink" Target="file:///C:\Users\wubia\OneDrive%20-%20Longi%20Magnet%20Australia%20Pty%20ltd\Documents%20-%20Longi%20Australia\03%20Project%20Management\Client\MRL\Wodgina\AT0060%20LIMS%20Testwork" TargetMode="External"/><Relationship Id="rId249" Type="http://schemas.openxmlformats.org/officeDocument/2006/relationships/ctrlProp" Target="../ctrlProps/ctrlProp18.xml"/><Relationship Id="rId414" Type="http://schemas.openxmlformats.org/officeDocument/2006/relationships/ctrlProp" Target="../ctrlProps/ctrlProp183.xml"/><Relationship Id="rId456" Type="http://schemas.openxmlformats.org/officeDocument/2006/relationships/ctrlProp" Target="../ctrlProps/ctrlProp225.xml"/><Relationship Id="rId13" Type="http://schemas.openxmlformats.org/officeDocument/2006/relationships/hyperlink" Target="../../../AppData/Roaming/Microsoft/Excel/Client/FMG/Iron%20Bridge/AQ0005%20IB%20Spray%20bar" TargetMode="External"/><Relationship Id="rId109" Type="http://schemas.openxmlformats.org/officeDocument/2006/relationships/hyperlink" Target="../../../../wubia/OneDrive%20-%20Longi%20Magnet%20Australia%20Pty%20ltd/Documents%20-%20Longi%20Australia/03%20Project%20Management/Client/Cockatoo_Island_Mining/Cockatoo_Island/AC0019%20General%20Inquiry" TargetMode="External"/><Relationship Id="rId260" Type="http://schemas.openxmlformats.org/officeDocument/2006/relationships/ctrlProp" Target="../ctrlProps/ctrlProp29.xml"/><Relationship Id="rId316" Type="http://schemas.openxmlformats.org/officeDocument/2006/relationships/ctrlProp" Target="../ctrlProps/ctrlProp85.xml"/><Relationship Id="rId55" Type="http://schemas.openxmlformats.org/officeDocument/2006/relationships/hyperlink" Target="../../../AppData/Roaming/Microsoft/Excel/Client/Talison/Greenbush/AS0003%20CGP1%20Oil%20Cooling%20Coil%20upgrade" TargetMode="External"/><Relationship Id="rId97" Type="http://schemas.openxmlformats.org/officeDocument/2006/relationships/hyperlink" Target="../../../../wubia/OneDrive%20-%20Longi%20Magnet%20Australia%20Pty%20ltd/Documents%20-%20Longi%20Australia/03%20Project%20Management/Client/Globel_Lithium/Manna%20Lithium/AQ0040%20DFS%20CP008%20MS" TargetMode="External"/><Relationship Id="rId120" Type="http://schemas.openxmlformats.org/officeDocument/2006/relationships/hyperlink" Target="../../../../wubia/OneDrive%20-%20Longi%20Magnet%20Australia%20Pty%20ltd/Documents%20-%20Longi%20Australia/03%20Project%20Management/Client/Young_Steel/Waste%20Dam/AT0036%20Dry%20MS%20Testwork" TargetMode="External"/><Relationship Id="rId358" Type="http://schemas.openxmlformats.org/officeDocument/2006/relationships/ctrlProp" Target="../ctrlProps/ctrlProp127.xml"/><Relationship Id="rId162" Type="http://schemas.openxmlformats.org/officeDocument/2006/relationships/hyperlink" Target="../../../../wubia/OneDrive%20-%20Longi%20Magnet%20Australia%20Pty%20ltd/Documents%20-%20Longi%20Australia/03%20Project%20Management/Client/Dome_Gold/Sigatoka_Ironsands_Project/AT0048%20Metallurgical%20Testworks" TargetMode="External"/><Relationship Id="rId218" Type="http://schemas.openxmlformats.org/officeDocument/2006/relationships/hyperlink" Target="file:///C:\Users\wubia\OneDrive%20-%20Longi%20Magnet%20Australia%20Pty%20ltd\Documents%20-%20Longi%20Australia\03%20Project%20Management\Client\Roy_Hill\Roy_Hill\AQ0107%20Low%20Grade%20Denside%20Medium%20Recovery%20Drum" TargetMode="External"/><Relationship Id="rId425" Type="http://schemas.openxmlformats.org/officeDocument/2006/relationships/ctrlProp" Target="../ctrlProps/ctrlProp194.xml"/><Relationship Id="rId271" Type="http://schemas.openxmlformats.org/officeDocument/2006/relationships/ctrlProp" Target="../ctrlProps/ctrlProp40.xml"/><Relationship Id="rId24" Type="http://schemas.openxmlformats.org/officeDocument/2006/relationships/hyperlink" Target="../../../AppData/Roaming/Microsoft/Excel/Client/Grange/Southdown/AQ0013%20DRY+WET%20new%20plant" TargetMode="External"/><Relationship Id="rId66" Type="http://schemas.openxmlformats.org/officeDocument/2006/relationships/hyperlink" Target="../Client/BV/BV%20Perth/AS0006%20WHIMS%20Service" TargetMode="External"/><Relationship Id="rId131" Type="http://schemas.openxmlformats.org/officeDocument/2006/relationships/hyperlink" Target="../../../../wubia/OneDrive%20-%20Longi%20Magnet%20Australia%20Pty%20ltd/Documents%20-%20Longi%20Australia/03%20Project%20Management/Client/MRL/Wodgina/AQ0055%20RFP%20-%20PP007%20-%20MRL3468%20MS%20(WHIMS)%20-%20Train%204" TargetMode="External"/><Relationship Id="rId327" Type="http://schemas.openxmlformats.org/officeDocument/2006/relationships/ctrlProp" Target="../ctrlProps/ctrlProp96.xml"/><Relationship Id="rId369" Type="http://schemas.openxmlformats.org/officeDocument/2006/relationships/ctrlProp" Target="../ctrlProps/ctrlProp138.xml"/><Relationship Id="rId173" Type="http://schemas.openxmlformats.org/officeDocument/2006/relationships/hyperlink" Target="../../../../wubia/OneDrive%20-%20Longi%20Magnet%20Australia%20Pty%20ltd/Documents%20-%20Longi%20Australia/03%20Project%20Management/Client/MRL/Mt%20Marion/AQ0078%20HDMS%20Drum%20Assembly" TargetMode="External"/><Relationship Id="rId229" Type="http://schemas.openxmlformats.org/officeDocument/2006/relationships/printerSettings" Target="../printerSettings/printerSettings1.bin"/><Relationship Id="rId380" Type="http://schemas.openxmlformats.org/officeDocument/2006/relationships/ctrlProp" Target="../ctrlProps/ctrlProp149.xml"/><Relationship Id="rId436" Type="http://schemas.openxmlformats.org/officeDocument/2006/relationships/ctrlProp" Target="../ctrlProps/ctrlProp205.xml"/><Relationship Id="rId240" Type="http://schemas.openxmlformats.org/officeDocument/2006/relationships/ctrlProp" Target="../ctrlProps/ctrlProp9.xml"/><Relationship Id="rId35" Type="http://schemas.openxmlformats.org/officeDocument/2006/relationships/hyperlink" Target="../../../../wubia/OneDrive%20-%20Longi%20Magnet%20Australia%20Pty%20ltd/Documents%20-%20Longi%20Australia/03%20Project%20Management/Client/Riotinto/Gudai-Darri%203/AT0011%20WHIMS%20Testwork" TargetMode="External"/><Relationship Id="rId77" Type="http://schemas.openxmlformats.org/officeDocument/2006/relationships/hyperlink" Target="../../../../wubia/OneDrive%20-%20Longi%20Magnet%20Australia%20Pty%20ltd/Documents%20-%20Longi%20Australia/03%20Project%20Management/Client/MRL/Mt%20Marion/AQ0029%20WHIMS%20SPARES" TargetMode="External"/><Relationship Id="rId100" Type="http://schemas.openxmlformats.org/officeDocument/2006/relationships/hyperlink" Target="../../../../wubia/OneDrive%20-%20Longi%20Magnet%20Australia%20Pty%20ltd/Documents%20-%20Longi%20Australia/03%20Project%20Management/Client/SIMEC/MEP%201/AQ0042%20UCMS%20FS%20MT" TargetMode="External"/><Relationship Id="rId282" Type="http://schemas.openxmlformats.org/officeDocument/2006/relationships/ctrlProp" Target="../ctrlProps/ctrlProp51.xml"/><Relationship Id="rId338" Type="http://schemas.openxmlformats.org/officeDocument/2006/relationships/ctrlProp" Target="../ctrlProps/ctrlProp107.xml"/><Relationship Id="rId8" Type="http://schemas.openxmlformats.org/officeDocument/2006/relationships/hyperlink" Target="../../../AppData/Roaming/Microsoft/Excel/Client/Grange/Savage%20River/AQ0001%20LJC%20testline" TargetMode="External"/><Relationship Id="rId142" Type="http://schemas.openxmlformats.org/officeDocument/2006/relationships/hyperlink" Target="../../../../wubia/OneDrive%20-%20Longi%20Magnet%20Australia%20Pty%20ltd/Documents%20-%20Longi%20Australia/03%20Project%20Management/Client/Venus_Metals/Younami_Gabbro_Project/AT0046%20Metallurgical%20Testworks" TargetMode="External"/><Relationship Id="rId184" Type="http://schemas.openxmlformats.org/officeDocument/2006/relationships/hyperlink" Target="file:///C:\Users\wubia\OneDrive%20-%20Longi%20Magnet%20Australia%20Pty%20ltd\Documents%20-%20Longi%20Australia\03%20Project%20Management\Client\Capricorn_Metals\Karlawinda%20Expansion\AQ0085%20828%20-%20Tramp%20Metal%20Magnet" TargetMode="External"/><Relationship Id="rId391" Type="http://schemas.openxmlformats.org/officeDocument/2006/relationships/ctrlProp" Target="../ctrlProps/ctrlProp160.xml"/><Relationship Id="rId405" Type="http://schemas.openxmlformats.org/officeDocument/2006/relationships/ctrlProp" Target="../ctrlProps/ctrlProp174.xml"/><Relationship Id="rId447" Type="http://schemas.openxmlformats.org/officeDocument/2006/relationships/ctrlProp" Target="../ctrlProps/ctrlProp216.xml"/><Relationship Id="rId251" Type="http://schemas.openxmlformats.org/officeDocument/2006/relationships/ctrlProp" Target="../ctrlProps/ctrlProp20.xml"/><Relationship Id="rId46" Type="http://schemas.openxmlformats.org/officeDocument/2006/relationships/hyperlink" Target="../../../AppData/Roaming/Microsoft/Excel/Client/Talison/Greenbush/AS0002%20CPG3%20Equipment%20Inspection" TargetMode="External"/><Relationship Id="rId293" Type="http://schemas.openxmlformats.org/officeDocument/2006/relationships/ctrlProp" Target="../ctrlProps/ctrlProp62.xml"/><Relationship Id="rId307" Type="http://schemas.openxmlformats.org/officeDocument/2006/relationships/ctrlProp" Target="../ctrlProps/ctrlProp76.xml"/><Relationship Id="rId349" Type="http://schemas.openxmlformats.org/officeDocument/2006/relationships/ctrlProp" Target="../ctrlProps/ctrlProp118.xml"/><Relationship Id="rId88" Type="http://schemas.openxmlformats.org/officeDocument/2006/relationships/hyperlink" Target="../../../../wubia/OneDrive%20-%20Longi%20Magnet%20Australia%20Pty%20ltd/Documents%20-%20Longi%20Australia/03%20Project%20Management/Client/Loesche/Loesche/AC0015%20General%20Inquiry" TargetMode="External"/><Relationship Id="rId111" Type="http://schemas.openxmlformats.org/officeDocument/2006/relationships/hyperlink" Target="../../../../wubia/OneDrive%20-%20Longi%20Magnet%20Australia%20Pty%20ltd/Documents%20-%20Longi%20Australia/03%20Project%20Management/Client/SIMEC/MEP%201/AQ0048%2012935%20CP008C%20LJC%20Package" TargetMode="External"/><Relationship Id="rId153" Type="http://schemas.openxmlformats.org/officeDocument/2006/relationships/hyperlink" Target="../../../../wubia/OneDrive%20-%20Longi%20Magnet%20Australia%20Pty%20ltd/Documents%20-%20Longi%20Australia/03%20Project%20Management/Client/SIMEC/MEP%201/AQ0069%20DIMS%20LJK%20Tramp%20Magnet%20Package" TargetMode="External"/><Relationship Id="rId195" Type="http://schemas.openxmlformats.org/officeDocument/2006/relationships/hyperlink" Target="file:///C:\Users\wubia\OneDrive%20-%20Longi%20Magnet%20Australia%20Pty%20ltd\Documents%20-%20Longi%20Australia\03%20Project%20Management\Client\Northern_Mineral\Browns_Range\AQ0092%20Wolverine%20Project%2012874%20CP004%20&#8211;%20MAGNETS" TargetMode="External"/><Relationship Id="rId209" Type="http://schemas.openxmlformats.org/officeDocument/2006/relationships/hyperlink" Target="file:///C:\Users\wubia\OneDrive%20-%20Longi%20Magnet%20Australia%20Pty%20ltd\Documents%20-%20Longi%20Australia\03%20Project%20Management\Client\Covalent_Lithium\Mount%20Holland\AQ0102%20%20MTH-300-ME-RFT-0003%20Covalent%20Expansion%20Project%20-%20LIMS" TargetMode="External"/><Relationship Id="rId360" Type="http://schemas.openxmlformats.org/officeDocument/2006/relationships/ctrlProp" Target="../ctrlProps/ctrlProp129.xml"/><Relationship Id="rId416" Type="http://schemas.openxmlformats.org/officeDocument/2006/relationships/ctrlProp" Target="../ctrlProps/ctrlProp185.xml"/><Relationship Id="rId220" Type="http://schemas.openxmlformats.org/officeDocument/2006/relationships/hyperlink" Target="file:///C:\Users\wubia\OneDrive%20-%20Longi%20Magnet%20Australia%20Pty%20ltd\Documents%20-%20Longi%20Australia\03%20Project%20Management\Client\Terra_Metals\Dante\AC0033%20General%20Inquiry" TargetMode="External"/><Relationship Id="rId458" Type="http://schemas.openxmlformats.org/officeDocument/2006/relationships/ctrlProp" Target="../ctrlProps/ctrlProp227.xml"/><Relationship Id="rId15" Type="http://schemas.openxmlformats.org/officeDocument/2006/relationships/hyperlink" Target="../../../AppData/Roaming/Microsoft/Excel/Client/Talison/Greenbush/AQ0007%20Talison%20CPG4" TargetMode="External"/><Relationship Id="rId57" Type="http://schemas.openxmlformats.org/officeDocument/2006/relationships/hyperlink" Target="../../../AppData/Roaming/Microsoft/Excel/Client/Riotinto/Tom%20Price/AC0013%20General%20Inquiry" TargetMode="External"/><Relationship Id="rId262" Type="http://schemas.openxmlformats.org/officeDocument/2006/relationships/ctrlProp" Target="../ctrlProps/ctrlProp31.xml"/><Relationship Id="rId318" Type="http://schemas.openxmlformats.org/officeDocument/2006/relationships/ctrlProp" Target="../ctrlProps/ctrlProp87.xml"/><Relationship Id="rId99" Type="http://schemas.openxmlformats.org/officeDocument/2006/relationships/hyperlink" Target="../../../../wubia/OneDrive%20-%20Longi%20Magnet%20Australia%20Pty%20ltd/Documents%20-%20Longi%20Australia/03%20Project%20Management/Client/Covalent_Lithium/Mount%20Holland/AS0009%20General%20Service" TargetMode="External"/><Relationship Id="rId122" Type="http://schemas.openxmlformats.org/officeDocument/2006/relationships/hyperlink" Target="../../../../wubia/OneDrive%20-%20Longi%20Magnet%20Australia%20Pty%20ltd/Documents%20-%20Longi%20Australia/03%20Project%20Management/Client/FMG/Belinga/AT0038%20General%20Inquiry" TargetMode="External"/><Relationship Id="rId164" Type="http://schemas.openxmlformats.org/officeDocument/2006/relationships/hyperlink" Target="../../../../wubia/OneDrive%20-%20Longi%20Magnet%20Australia%20Pty%20ltd/Documents%20-%20Longi%20Australia/03%20Project%20Management/Client/Iondrive/Pretreatment%20Facility/AQ0076%20Low%20capacity%20LIMS%20units" TargetMode="External"/><Relationship Id="rId371" Type="http://schemas.openxmlformats.org/officeDocument/2006/relationships/ctrlProp" Target="../ctrlProps/ctrlProp140.xml"/><Relationship Id="rId427" Type="http://schemas.openxmlformats.org/officeDocument/2006/relationships/ctrlProp" Target="../ctrlProps/ctrlProp196.xml"/><Relationship Id="rId26" Type="http://schemas.openxmlformats.org/officeDocument/2006/relationships/hyperlink" Target="../../../AppData/Roaming/Microsoft/Excel/Client/Leo_Lithium/GOULAMINA/AC0007%20GOULAMINA%20LITHIUM%20EXPANSION%20PROJECT" TargetMode="External"/><Relationship Id="rId231" Type="http://schemas.openxmlformats.org/officeDocument/2006/relationships/vmlDrawing" Target="../drawings/vmlDrawing1.vml"/><Relationship Id="rId273" Type="http://schemas.openxmlformats.org/officeDocument/2006/relationships/ctrlProp" Target="../ctrlProps/ctrlProp42.xml"/><Relationship Id="rId329" Type="http://schemas.openxmlformats.org/officeDocument/2006/relationships/ctrlProp" Target="../ctrlProps/ctrlProp98.xml"/><Relationship Id="rId68" Type="http://schemas.openxmlformats.org/officeDocument/2006/relationships/hyperlink" Target="../Client/Nagrom/Nagrom/AS0008%20LGS-100%20Installation" TargetMode="External"/><Relationship Id="rId133" Type="http://schemas.openxmlformats.org/officeDocument/2006/relationships/hyperlink" Target="../../../../wubia/OneDrive%20-%20Longi%20Magnet%20Australia%20Pty%20ltd/Documents%20-%20Longi%20Australia/03%20Project%20Management/Client/Riotinto/Green%20Steel/AT0042%20Q4'24%20WHIMS%20Testwork" TargetMode="External"/><Relationship Id="rId175" Type="http://schemas.openxmlformats.org/officeDocument/2006/relationships/hyperlink" Target="../../../../wubia/OneDrive%20-%20Longi%20Magnet%20Australia%20Pty%20ltd/Documents%20-%20Longi%20Australia/03%20Project%20Management/Client/FMG/Dragon/AQ0080%20Tramp%20Magnet%20and%20Metal%20Detector" TargetMode="External"/><Relationship Id="rId340" Type="http://schemas.openxmlformats.org/officeDocument/2006/relationships/ctrlProp" Target="../ctrlProps/ctrlProp109.xml"/><Relationship Id="rId200" Type="http://schemas.openxmlformats.org/officeDocument/2006/relationships/hyperlink" Target="file:///C:\Users\wubia\OneDrive%20-%20Longi%20Magnet%20Australia%20Pty%20ltd\Documents%20-%20Longi%20Australia\03%20Project%20Management\Client\Sibanye_Stillwater\Mt%20Lyell%20Class%202\AQ0095%20Mt%20Lyell%20Class%202%20FS-CP004-Tramp%20Metal%20Magnets" TargetMode="External"/><Relationship Id="rId382" Type="http://schemas.openxmlformats.org/officeDocument/2006/relationships/ctrlProp" Target="../ctrlProps/ctrlProp151.xml"/><Relationship Id="rId438" Type="http://schemas.openxmlformats.org/officeDocument/2006/relationships/ctrlProp" Target="../ctrlProps/ctrlProp207.xml"/><Relationship Id="rId242" Type="http://schemas.openxmlformats.org/officeDocument/2006/relationships/ctrlProp" Target="../ctrlProps/ctrlProp11.xml"/><Relationship Id="rId284" Type="http://schemas.openxmlformats.org/officeDocument/2006/relationships/ctrlProp" Target="../ctrlProps/ctrlProp53.xml"/><Relationship Id="rId37" Type="http://schemas.openxmlformats.org/officeDocument/2006/relationships/hyperlink" Target="../../../AppData/Roaming/Microsoft/Excel/Client/TMT/Murchison/AQ0015%20Murchison" TargetMode="External"/><Relationship Id="rId79" Type="http://schemas.openxmlformats.org/officeDocument/2006/relationships/hyperlink" Target="../../../../wubia/OneDrive%20-%20Longi%20Magnet%20Australia%20Pty%20ltd/Documents%20-%20Longi%20Australia/03%20Project%20Management/Client/MRL/Mt%20Marion/AQ0031%20WHIMS%20SPARES" TargetMode="External"/><Relationship Id="rId102" Type="http://schemas.openxmlformats.org/officeDocument/2006/relationships/hyperlink" Target="../../../../wubia/OneDrive%20-%20Longi%20Magnet%20Australia%20Pty%20ltd/Documents%20-%20Longi%20Australia/03%20Project%20Management/Client/SIMEC/Hematite/AT0030%20WHIMS%20Testwork" TargetMode="External"/><Relationship Id="rId144" Type="http://schemas.openxmlformats.org/officeDocument/2006/relationships/hyperlink" Target="../../../../wubia/OneDrive%20-%20Longi%20Magnet%20Australia%20Pty%20ltd/Documents%20-%20Longi%20Australia/03%20Project%20Management/Client/Allup_Silica/McLaren_Project/AQ0061%20LIMS(IHC%20JN561)" TargetMode="External"/><Relationship Id="rId90" Type="http://schemas.openxmlformats.org/officeDocument/2006/relationships/hyperlink" Target="../../../../wubia/OneDrive%20-%20Longi%20Magnet%20Australia%20Pty%20ltd/Documents%20-%20Longi%20Australia/03%20Project%20Management/Client/Norton/Paddington/AQ0036%20Belt%20iron%20remover" TargetMode="External"/><Relationship Id="rId186" Type="http://schemas.openxmlformats.org/officeDocument/2006/relationships/hyperlink" Target="file:///C:\Users\wubia\OneDrive%20-%20Longi%20Magnet%20Australia%20Pty%20ltd\Documents%20-%20Longi%20Australia\03%20Project%20Management\Client\BV\BV%20Perth\AQ0087%20Jaw%20Crusher%20Operation%20Platform" TargetMode="External"/><Relationship Id="rId351" Type="http://schemas.openxmlformats.org/officeDocument/2006/relationships/ctrlProp" Target="../ctrlProps/ctrlProp120.xml"/><Relationship Id="rId393" Type="http://schemas.openxmlformats.org/officeDocument/2006/relationships/ctrlProp" Target="../ctrlProps/ctrlProp162.xml"/><Relationship Id="rId407" Type="http://schemas.openxmlformats.org/officeDocument/2006/relationships/ctrlProp" Target="../ctrlProps/ctrlProp176.xml"/><Relationship Id="rId449" Type="http://schemas.openxmlformats.org/officeDocument/2006/relationships/ctrlProp" Target="../ctrlProps/ctrlProp218.xml"/><Relationship Id="rId211" Type="http://schemas.openxmlformats.org/officeDocument/2006/relationships/hyperlink" Target="file:///C:\Users\wubia\OneDrive%20-%20Longi%20Magnet%20Australia%20Pty%20ltd\Documents%20-%20Longi%20Australia\03%20Project%20Management\Client\Terra_mining\Extension%20Hill\AQ0103%204th%20DMS%20and%20Platform%20Assembly" TargetMode="External"/><Relationship Id="rId253" Type="http://schemas.openxmlformats.org/officeDocument/2006/relationships/ctrlProp" Target="../ctrlProps/ctrlProp22.xml"/><Relationship Id="rId295" Type="http://schemas.openxmlformats.org/officeDocument/2006/relationships/ctrlProp" Target="../ctrlProps/ctrlProp64.xml"/><Relationship Id="rId309" Type="http://schemas.openxmlformats.org/officeDocument/2006/relationships/ctrlProp" Target="../ctrlProps/ctrlProp78.xml"/><Relationship Id="rId460" Type="http://schemas.openxmlformats.org/officeDocument/2006/relationships/ctrlProp" Target="../ctrlProps/ctrlProp229.xml"/><Relationship Id="rId48" Type="http://schemas.openxmlformats.org/officeDocument/2006/relationships/hyperlink" Target="../../../AppData/Roaming/Microsoft/Excel/Client/SIMEC/MEP%202/AQ0019%20CAP-MAG066-1186%20Wet%20Magnetic%20Separators" TargetMode="External"/><Relationship Id="rId113" Type="http://schemas.openxmlformats.org/officeDocument/2006/relationships/hyperlink" Target="../../../../wubia/OneDrive%20-%20Longi%20Magnet%20Australia%20Pty%20ltd/Documents%20-%20Longi%20Australia/03%20Project%20Management/Client/FMG/Iron%20Bridge/AQ0049%20RCMS%20Replacement(LJC)" TargetMode="External"/><Relationship Id="rId320" Type="http://schemas.openxmlformats.org/officeDocument/2006/relationships/ctrlProp" Target="../ctrlProps/ctrlProp89.xml"/><Relationship Id="rId155" Type="http://schemas.openxmlformats.org/officeDocument/2006/relationships/hyperlink" Target="../../../../wubia/OneDrive%20-%20Longi%20Magnet%20Australia%20Pty%20ltd/Documents%20-%20Longi%20Australia/03%20Project%20Management/Client/Northern_Mineral/Browns_Range/AQ0070%20Heavy%20Rare%20Earth%20Project%20%20HGMS%20(CP085)" TargetMode="External"/><Relationship Id="rId197" Type="http://schemas.openxmlformats.org/officeDocument/2006/relationships/hyperlink" Target="file:///C:\Users\wubia\OneDrive%20-%20Longi%20Magnet%20Australia%20Pty%20ltd\Documents%20-%20Longi%20Australia\03%20Project%20Management\Client\Young_Steel\Peko%20\AC0029%20PEKO%20project%20General%20Enquiry" TargetMode="External"/><Relationship Id="rId362" Type="http://schemas.openxmlformats.org/officeDocument/2006/relationships/ctrlProp" Target="../ctrlProps/ctrlProp131.xml"/><Relationship Id="rId418" Type="http://schemas.openxmlformats.org/officeDocument/2006/relationships/ctrlProp" Target="../ctrlProps/ctrlProp187.xml"/><Relationship Id="rId222" Type="http://schemas.openxmlformats.org/officeDocument/2006/relationships/hyperlink" Target="file:///C:\Users\wubia\OneDrive%20-%20Longi%20Magnet%20Australia%20Pty%20ltd\Documents%20-%20Longi%20Australia\03%20Project%20Management\Client\Terra_mining\Extension%20Hill\AQ0109%20LCGZ%20Lab%20equipment" TargetMode="External"/><Relationship Id="rId264" Type="http://schemas.openxmlformats.org/officeDocument/2006/relationships/ctrlProp" Target="../ctrlProps/ctrlProp33.xml"/><Relationship Id="rId17" Type="http://schemas.openxmlformats.org/officeDocument/2006/relationships/hyperlink" Target="../../../AppData/Roaming/Microsoft/Excel/Client/HanRoy/Ridley/AC0004%20General%20Inquiry" TargetMode="External"/><Relationship Id="rId59" Type="http://schemas.openxmlformats.org/officeDocument/2006/relationships/hyperlink" Target="../../../AppData/Roaming/Microsoft/Excel/Client/ConsMin/Woodie%20Woodie/AT0017%20Tails%20WHIMS%20Testwork" TargetMode="External"/><Relationship Id="rId124" Type="http://schemas.openxmlformats.org/officeDocument/2006/relationships/hyperlink" Target="../../../../wubia/OneDrive%20-%20Longi%20Magnet%20Australia%20Pty%20ltd/Documents%20-%20Longi%20Australia/03%20Project%20Management/Client/Mayur/Orokolo_Bay/AQ0052%20RFQ-004%20LIMS" TargetMode="External"/><Relationship Id="rId70" Type="http://schemas.openxmlformats.org/officeDocument/2006/relationships/hyperlink" Target="../../../../wubia/OneDrive%20-%20Longi%20Magnet%20Australia%20Pty%20ltd/Documents%20-%20Longi%20Australia/03%20Project%20Management/Client/FMG/Christmas%20Creek&#160;/AT0020%20WHIMS%20Investigation" TargetMode="External"/><Relationship Id="rId166" Type="http://schemas.openxmlformats.org/officeDocument/2006/relationships/hyperlink" Target="../../../../wubia/OneDrive%20-%20Longi%20Magnet%20Australia%20Pty%20ltd/Documents%20-%20Longi%20Australia/03%20Project%20Management/Client/Hawsons_Iron/Hawsons%20Iron%20Project/AT0050%20HAWSONS%20Dry%20Mag%20Separation" TargetMode="External"/><Relationship Id="rId331" Type="http://schemas.openxmlformats.org/officeDocument/2006/relationships/ctrlProp" Target="../ctrlProps/ctrlProp100.xml"/><Relationship Id="rId373" Type="http://schemas.openxmlformats.org/officeDocument/2006/relationships/ctrlProp" Target="../ctrlProps/ctrlProp142.xml"/><Relationship Id="rId429" Type="http://schemas.openxmlformats.org/officeDocument/2006/relationships/ctrlProp" Target="../ctrlProps/ctrlProp198.xml"/><Relationship Id="rId1" Type="http://schemas.openxmlformats.org/officeDocument/2006/relationships/hyperlink" Target="../../../AppData/Roaming/Microsoft/Excel/Client/HanRoy/Mt%20Beavan/AT0001%20Magnetic%20Separation%20Trial" TargetMode="External"/><Relationship Id="rId233" Type="http://schemas.openxmlformats.org/officeDocument/2006/relationships/ctrlProp" Target="../ctrlProps/ctrlProp2.xml"/><Relationship Id="rId440" Type="http://schemas.openxmlformats.org/officeDocument/2006/relationships/ctrlProp" Target="../ctrlProps/ctrlProp209.xml"/><Relationship Id="rId28" Type="http://schemas.openxmlformats.org/officeDocument/2006/relationships/hyperlink" Target="../../../AppData/Roaming/Microsoft/Excel/Client/FMG/Iron%20Bridge/AT0007%20LJC%20Testwork" TargetMode="External"/><Relationship Id="rId275" Type="http://schemas.openxmlformats.org/officeDocument/2006/relationships/ctrlProp" Target="../ctrlProps/ctrlProp44.xml"/><Relationship Id="rId300" Type="http://schemas.openxmlformats.org/officeDocument/2006/relationships/ctrlProp" Target="../ctrlProps/ctrlProp69.xml"/><Relationship Id="rId81" Type="http://schemas.openxmlformats.org/officeDocument/2006/relationships/hyperlink" Target="../../../../wubia/OneDrive%20-%20Longi%20Magnet%20Australia%20Pty%20ltd/Documents%20-%20Longi%20Australia/03%20Project%20Management/Client/MRL/Mt%20Marion/AP0002%20Spare%20Parts" TargetMode="External"/><Relationship Id="rId135" Type="http://schemas.openxmlformats.org/officeDocument/2006/relationships/hyperlink" Target="../../../../wubia/OneDrive%20-%20Longi%20Magnet%20Australia%20Pty%20ltd/Documents%20-%20Longi%20Australia/03%20Project%20Management/Client/MRL/Mt%20Marion/AQ0057%20Fine%20Flotation%20Study" TargetMode="External"/><Relationship Id="rId177" Type="http://schemas.openxmlformats.org/officeDocument/2006/relationships/hyperlink" Target="../../../../wubia/OneDrive%20-%20Longi%20Magnet%20Australia%20Pty%20ltd/Documents%20-%20Longi%20Australia/03%20Project%20Management/Client/Young_Steel/Snaefell/AT0056%20Second%20batch%20magnetite%20Testowrk" TargetMode="External"/><Relationship Id="rId342" Type="http://schemas.openxmlformats.org/officeDocument/2006/relationships/ctrlProp" Target="../ctrlProps/ctrlProp111.xml"/><Relationship Id="rId384" Type="http://schemas.openxmlformats.org/officeDocument/2006/relationships/ctrlProp" Target="../ctrlProps/ctrlProp153.xml"/><Relationship Id="rId202" Type="http://schemas.openxmlformats.org/officeDocument/2006/relationships/hyperlink" Target="file:///C:\Users\wubia\OneDrive%20-%20Longi%20Magnet%20Australia%20Pty%20ltd\Documents%20-%20Longi%20Australia\03%20Project%20Management\Client\Terra_mining\Extension%20Hill\AQ0097%20DMS%20Drum%20Skin%20with%20lining%20and%20end%20plate" TargetMode="External"/><Relationship Id="rId244" Type="http://schemas.openxmlformats.org/officeDocument/2006/relationships/ctrlProp" Target="../ctrlProps/ctrlProp13.xml"/><Relationship Id="rId39" Type="http://schemas.openxmlformats.org/officeDocument/2006/relationships/hyperlink" Target="../../../AppData/Roaming/Microsoft/Excel/Client/Covalent_Lithium/Mount%20Holland/AT0013%20Chemical%20Plant" TargetMode="External"/><Relationship Id="rId286" Type="http://schemas.openxmlformats.org/officeDocument/2006/relationships/ctrlProp" Target="../ctrlProps/ctrlProp55.xml"/><Relationship Id="rId451" Type="http://schemas.openxmlformats.org/officeDocument/2006/relationships/ctrlProp" Target="../ctrlProps/ctrlProp220.xml"/><Relationship Id="rId50" Type="http://schemas.openxmlformats.org/officeDocument/2006/relationships/hyperlink" Target="../../../AppData/Roaming/Microsoft/Excel/Client/Magnetite_Mines/The%20Razorback&#160;/AT0015%20WHIMS%20Hematite%20Investigation" TargetMode="External"/><Relationship Id="rId104" Type="http://schemas.openxmlformats.org/officeDocument/2006/relationships/hyperlink" Target="../../../../wubia/OneDrive%20-%20Longi%20Magnet%20Australia%20Pty%20ltd/Documents%20-%20Longi%20Australia/03%20Project%20Management/Client/Talison/AQ0044%20CGP1%20COMPLETE%20CHANGE" TargetMode="External"/><Relationship Id="rId146" Type="http://schemas.openxmlformats.org/officeDocument/2006/relationships/hyperlink" Target="../../../../wubia/OneDrive%20-%20Longi%20Magnet%20Australia%20Pty%20ltd/Documents%20-%20Longi%20Australia/03%20Project%20Management/Client/Talison/Greenbush/AS0011%20General%20Service" TargetMode="External"/><Relationship Id="rId188" Type="http://schemas.openxmlformats.org/officeDocument/2006/relationships/hyperlink" Target="file:///C:\Users\wubia\OneDrive%20-%20Longi%20Magnet%20Australia%20Pty%20ltd\Documents%20-%20Longi%20Australia\03%20Project%20Management\Client\Talison\Greenbush\AP0004%20CGP3%202025" TargetMode="External"/><Relationship Id="rId311" Type="http://schemas.openxmlformats.org/officeDocument/2006/relationships/ctrlProp" Target="../ctrlProps/ctrlProp80.xml"/><Relationship Id="rId353" Type="http://schemas.openxmlformats.org/officeDocument/2006/relationships/ctrlProp" Target="../ctrlProps/ctrlProp122.xml"/><Relationship Id="rId395" Type="http://schemas.openxmlformats.org/officeDocument/2006/relationships/ctrlProp" Target="../ctrlProps/ctrlProp164.xml"/><Relationship Id="rId409" Type="http://schemas.openxmlformats.org/officeDocument/2006/relationships/ctrlProp" Target="../ctrlProps/ctrlProp178.xml"/><Relationship Id="rId92" Type="http://schemas.openxmlformats.org/officeDocument/2006/relationships/hyperlink" Target="../../../../wubia/OneDrive%20-%20Longi%20Magnet%20Australia%20Pty%20ltd/Documents%20-%20Longi%20Australia/03%20Project%20Management/Client/MRL/Mt%20Marion/AT0029%20Belt%20Magnet%20Drum%20Testwork" TargetMode="External"/><Relationship Id="rId213" Type="http://schemas.openxmlformats.org/officeDocument/2006/relationships/hyperlink" Target="file:///C:\Users\wubia\OneDrive%20-%20Longi%20Magnet%20Australia%20Pty%20ltd\Documents%20-%20Longi%20Australia\03%20Project%20Management\Client\Tanbreez_Mining\Tanbreez%20Project\AQ0105%20Ore%20Sorter%20Lab%20Equipment" TargetMode="External"/><Relationship Id="rId420" Type="http://schemas.openxmlformats.org/officeDocument/2006/relationships/ctrlProp" Target="../ctrlProps/ctrlProp189.xml"/><Relationship Id="rId255" Type="http://schemas.openxmlformats.org/officeDocument/2006/relationships/ctrlProp" Target="../ctrlProps/ctrlProp24.xml"/><Relationship Id="rId297" Type="http://schemas.openxmlformats.org/officeDocument/2006/relationships/ctrlProp" Target="../ctrlProps/ctrlProp66.xml"/><Relationship Id="rId462" Type="http://schemas.openxmlformats.org/officeDocument/2006/relationships/ctrlProp" Target="../ctrlProps/ctrlProp23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B5B8-18B7-4B63-877F-F7A877EDEBD1}">
  <sheetPr codeName="Sheet1"/>
  <dimension ref="A1:Q249"/>
  <sheetViews>
    <sheetView tabSelected="1" view="pageBreakPreview" topLeftCell="E215" zoomScaleNormal="70" zoomScaleSheetLayoutView="100" zoomScalePageLayoutView="60" workbookViewId="0">
      <selection activeCell="N232" sqref="N232"/>
    </sheetView>
  </sheetViews>
  <sheetFormatPr defaultRowHeight="14.5"/>
  <cols>
    <col min="2" max="2" width="54.453125" customWidth="1"/>
    <col min="3" max="3" width="27.1796875" customWidth="1"/>
    <col min="4" max="4" width="63.453125" style="25" customWidth="1"/>
    <col min="5" max="5" width="13.453125" customWidth="1"/>
    <col min="6" max="6" width="34.453125" customWidth="1"/>
    <col min="7" max="7" width="22.453125" customWidth="1"/>
    <col min="8" max="8" width="17.1796875" customWidth="1"/>
    <col min="9" max="9" width="15.1796875" customWidth="1"/>
    <col min="10" max="11" width="12.453125" customWidth="1"/>
    <col min="12" max="12" width="26.453125" customWidth="1"/>
    <col min="13" max="13" width="25.81640625" customWidth="1"/>
    <col min="14" max="14" width="54.1796875" customWidth="1"/>
    <col min="15" max="15" width="19" customWidth="1"/>
  </cols>
  <sheetData>
    <row r="1" spans="1:16" ht="36" customHeight="1" thickBot="1">
      <c r="A1" s="19" t="s">
        <v>0</v>
      </c>
      <c r="L1" s="32" t="e" vm="1">
        <v>#VALUE!</v>
      </c>
      <c r="M1" s="32"/>
      <c r="N1" s="32"/>
      <c r="O1" s="32"/>
      <c r="P1" s="32"/>
    </row>
    <row r="2" spans="1:16" ht="54.65" customHeight="1" thickTop="1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845</v>
      </c>
      <c r="G2" s="13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3" t="s">
        <v>15</v>
      </c>
      <c r="P2" s="13"/>
    </row>
    <row r="3" spans="1:16" ht="19" customHeight="1">
      <c r="A3" s="5" t="str">
        <f>IF(E3&lt;&gt;"", "A"&amp;UPPER(LEFT(E3, 1)) &amp; TEXT(COUNTIF($E$3:E3, E3), "0000"), "")</f>
        <v>AT0001</v>
      </c>
      <c r="B3" s="5" t="s">
        <v>16</v>
      </c>
      <c r="C3" s="5" t="s">
        <v>17</v>
      </c>
      <c r="D3" s="5" t="s">
        <v>18</v>
      </c>
      <c r="E3" s="5" t="s">
        <v>19</v>
      </c>
      <c r="F3" s="5" t="s">
        <v>20</v>
      </c>
      <c r="G3" s="5"/>
      <c r="H3" s="5" t="s">
        <v>21</v>
      </c>
      <c r="I3" s="5"/>
      <c r="J3" s="5"/>
      <c r="K3" s="5"/>
      <c r="L3" s="5"/>
      <c r="M3" s="5"/>
      <c r="N3" s="7" t="str">
        <f>A3&amp;" "&amp;D3</f>
        <v>AT0001 Magnetic Separation Trial</v>
      </c>
      <c r="O3" s="10" t="s">
        <v>22</v>
      </c>
      <c r="P3" s="5"/>
    </row>
    <row r="4" spans="1:16" ht="19" customHeight="1">
      <c r="A4" s="5" t="str">
        <f>IF(E4&lt;&gt;"", "A"&amp;UPPER(LEFT(E4, 1)) &amp; TEXT(COUNTIF($E$3:E4, E4), "0000"), "")</f>
        <v>AC0001</v>
      </c>
      <c r="B4" s="5" t="s">
        <v>23</v>
      </c>
      <c r="C4" s="5" t="s">
        <v>24</v>
      </c>
      <c r="D4" s="5" t="s">
        <v>25</v>
      </c>
      <c r="E4" s="5" t="s">
        <v>26</v>
      </c>
      <c r="F4" s="5" t="s">
        <v>20</v>
      </c>
      <c r="G4" s="5"/>
      <c r="H4" s="5" t="s">
        <v>27</v>
      </c>
      <c r="I4" s="5"/>
      <c r="J4" s="5" t="s">
        <v>28</v>
      </c>
      <c r="K4" s="5"/>
      <c r="L4" s="5" t="s">
        <v>29</v>
      </c>
      <c r="M4" s="5" t="s">
        <v>30</v>
      </c>
      <c r="N4" s="7" t="str">
        <f t="shared" ref="N4:N67" si="0">A4&amp;" "&amp;D4</f>
        <v>AC0001 General Inquiry</v>
      </c>
      <c r="O4" s="10" t="s">
        <v>31</v>
      </c>
      <c r="P4" s="5"/>
    </row>
    <row r="5" spans="1:16" ht="19" customHeight="1">
      <c r="A5" s="5" t="str">
        <f>IF(E5&lt;&gt;"", "A"&amp;UPPER(LEFT(E5, 1)) &amp; TEXT(COUNTIF($E$3:E5, E5), "0000"), "")</f>
        <v>AC0002</v>
      </c>
      <c r="B5" s="5" t="s">
        <v>23</v>
      </c>
      <c r="C5" s="5" t="s">
        <v>32</v>
      </c>
      <c r="D5" s="5" t="s">
        <v>25</v>
      </c>
      <c r="E5" s="5" t="s">
        <v>26</v>
      </c>
      <c r="F5" s="5" t="s">
        <v>20</v>
      </c>
      <c r="G5" s="5"/>
      <c r="H5" s="5" t="s">
        <v>27</v>
      </c>
      <c r="I5" s="5"/>
      <c r="J5" s="5" t="s">
        <v>33</v>
      </c>
      <c r="K5" s="5" t="s">
        <v>34</v>
      </c>
      <c r="L5" s="5" t="s">
        <v>29</v>
      </c>
      <c r="M5" s="5" t="s">
        <v>30</v>
      </c>
      <c r="N5" s="7" t="str">
        <f t="shared" si="0"/>
        <v>AC0002 General Inquiry</v>
      </c>
      <c r="O5" s="10" t="s">
        <v>35</v>
      </c>
      <c r="P5" s="5"/>
    </row>
    <row r="6" spans="1:16" ht="19" customHeight="1">
      <c r="A6" s="5" t="str">
        <f>IF(E6&lt;&gt;"", "A"&amp;UPPER(LEFT(E6, 1)) &amp; TEXT(COUNTIF($E$3:E6, E6), "0000"), "")</f>
        <v>AC0003</v>
      </c>
      <c r="B6" s="5" t="s">
        <v>23</v>
      </c>
      <c r="C6" s="5" t="s">
        <v>36</v>
      </c>
      <c r="D6" s="5" t="s">
        <v>25</v>
      </c>
      <c r="E6" s="5" t="s">
        <v>26</v>
      </c>
      <c r="F6" s="5" t="s">
        <v>20</v>
      </c>
      <c r="G6" s="5"/>
      <c r="H6" s="5" t="s">
        <v>27</v>
      </c>
      <c r="I6" s="5"/>
      <c r="J6" s="5"/>
      <c r="K6" s="5"/>
      <c r="L6" s="5" t="s">
        <v>29</v>
      </c>
      <c r="M6" s="9"/>
      <c r="N6" s="7" t="str">
        <f t="shared" si="0"/>
        <v>AC0003 General Inquiry</v>
      </c>
      <c r="O6" s="10" t="s">
        <v>37</v>
      </c>
      <c r="P6" s="5"/>
    </row>
    <row r="7" spans="1:16" ht="19" customHeight="1">
      <c r="A7" s="5" t="str">
        <f>IF(E7&lt;&gt;"", "A"&amp;UPPER(LEFT(E7, 1)) &amp; TEXT(COUNTIF($E$3:E7, E7), "0000"), "")</f>
        <v>AQ0001</v>
      </c>
      <c r="B7" s="5" t="s">
        <v>38</v>
      </c>
      <c r="C7" s="5" t="s">
        <v>39</v>
      </c>
      <c r="D7" s="5" t="s">
        <v>40</v>
      </c>
      <c r="E7" s="5" t="s">
        <v>41</v>
      </c>
      <c r="F7" s="5" t="s">
        <v>20</v>
      </c>
      <c r="G7" s="5" t="s">
        <v>42</v>
      </c>
      <c r="H7" s="5" t="s">
        <v>27</v>
      </c>
      <c r="I7" s="5"/>
      <c r="J7" s="5">
        <v>2022</v>
      </c>
      <c r="K7" s="5"/>
      <c r="L7" s="5"/>
      <c r="M7" s="5"/>
      <c r="N7" s="7" t="str">
        <f t="shared" si="0"/>
        <v>AQ0001 LJC testline</v>
      </c>
      <c r="O7" s="10" t="s">
        <v>43</v>
      </c>
      <c r="P7" s="5"/>
    </row>
    <row r="8" spans="1:16" ht="19" customHeight="1">
      <c r="A8" s="5" t="str">
        <f>IF(E8&lt;&gt;"", "A"&amp;UPPER(LEFT(E8, 1)) &amp; TEXT(COUNTIF($E$3:E8, E8), "0000"), "")</f>
        <v>AT0002</v>
      </c>
      <c r="B8" s="5" t="s">
        <v>44</v>
      </c>
      <c r="C8" s="5" t="s">
        <v>45</v>
      </c>
      <c r="D8" s="5" t="s">
        <v>46</v>
      </c>
      <c r="E8" s="5" t="s">
        <v>19</v>
      </c>
      <c r="F8" s="5" t="s">
        <v>47</v>
      </c>
      <c r="G8" s="5" t="s">
        <v>48</v>
      </c>
      <c r="H8" s="5" t="s">
        <v>27</v>
      </c>
      <c r="I8" s="5"/>
      <c r="J8" s="5">
        <v>2022</v>
      </c>
      <c r="K8" s="5"/>
      <c r="L8" s="5" t="s">
        <v>29</v>
      </c>
      <c r="M8" s="5"/>
      <c r="N8" s="7" t="str">
        <f t="shared" si="0"/>
        <v>AT0002 WHIMS Testwork</v>
      </c>
      <c r="O8" s="10" t="s">
        <v>49</v>
      </c>
    </row>
    <row r="9" spans="1:16" ht="19" customHeight="1">
      <c r="A9" s="5" t="str">
        <f>IF(E9&lt;&gt;"", "A"&amp;UPPER(LEFT(E9, 1)) &amp; TEXT(COUNTIF($E$3:E9, E9), "0000"), "")</f>
        <v>AQ0002</v>
      </c>
      <c r="B9" s="5" t="s">
        <v>50</v>
      </c>
      <c r="C9" s="5" t="s">
        <v>51</v>
      </c>
      <c r="D9" s="5" t="s">
        <v>52</v>
      </c>
      <c r="E9" s="5" t="s">
        <v>41</v>
      </c>
      <c r="F9" s="5" t="s">
        <v>53</v>
      </c>
      <c r="G9" s="5" t="s">
        <v>54</v>
      </c>
      <c r="H9" s="5" t="s">
        <v>21</v>
      </c>
      <c r="I9" s="8"/>
      <c r="J9" s="6"/>
      <c r="K9" s="6">
        <v>45215</v>
      </c>
      <c r="L9" s="5"/>
      <c r="M9" s="5"/>
      <c r="N9" s="7" t="str">
        <f t="shared" si="0"/>
        <v>AQ0002 Manna lithium DFS</v>
      </c>
      <c r="O9" s="10" t="s">
        <v>55</v>
      </c>
      <c r="P9" s="5"/>
    </row>
    <row r="10" spans="1:16" ht="19" customHeight="1">
      <c r="A10" s="5" t="str">
        <f>IF(E10&lt;&gt;"", "A"&amp;UPPER(LEFT(E10, 1)) &amp; TEXT(COUNTIF($E$3:E10, E10), "0000"), "")</f>
        <v>AQ0003</v>
      </c>
      <c r="B10" s="5" t="s">
        <v>56</v>
      </c>
      <c r="C10" s="5" t="s">
        <v>56</v>
      </c>
      <c r="D10" s="5" t="s">
        <v>57</v>
      </c>
      <c r="E10" s="5" t="s">
        <v>41</v>
      </c>
      <c r="F10" s="5" t="s">
        <v>47</v>
      </c>
      <c r="G10" s="5" t="s">
        <v>58</v>
      </c>
      <c r="H10" s="5" t="s">
        <v>27</v>
      </c>
      <c r="I10" s="8"/>
      <c r="J10" s="6"/>
      <c r="K10" s="6">
        <v>45173</v>
      </c>
      <c r="L10" s="5"/>
      <c r="M10" s="5"/>
      <c r="N10" s="7" t="str">
        <f t="shared" si="0"/>
        <v>AQ0003 KUREEM Project Pilot Plant</v>
      </c>
      <c r="O10" s="10" t="s">
        <v>59</v>
      </c>
      <c r="P10" s="5"/>
    </row>
    <row r="11" spans="1:16" ht="19" customHeight="1">
      <c r="A11" s="5" t="str">
        <f>IF(E11&lt;&gt;"", "A"&amp;UPPER(LEFT(E11, 1)) &amp; TEXT(COUNTIF($E$3:E11, E11), "0000"), "")</f>
        <v>AQ0004</v>
      </c>
      <c r="B11" s="5" t="s">
        <v>56</v>
      </c>
      <c r="C11" s="5" t="s">
        <v>56</v>
      </c>
      <c r="D11" s="5" t="s">
        <v>60</v>
      </c>
      <c r="E11" s="5" t="s">
        <v>41</v>
      </c>
      <c r="F11" s="5" t="s">
        <v>47</v>
      </c>
      <c r="G11" s="5" t="s">
        <v>61</v>
      </c>
      <c r="H11" s="5" t="s">
        <v>27</v>
      </c>
      <c r="I11" s="8"/>
      <c r="J11" s="6"/>
      <c r="K11" s="6">
        <v>45192</v>
      </c>
      <c r="L11" s="5" t="s">
        <v>29</v>
      </c>
      <c r="M11" s="5"/>
      <c r="N11" s="7" t="str">
        <f t="shared" si="0"/>
        <v>AQ0004 KUREEM Project FS</v>
      </c>
      <c r="O11" s="10" t="s">
        <v>62</v>
      </c>
      <c r="P11" s="5"/>
    </row>
    <row r="12" spans="1:16" ht="19" customHeight="1">
      <c r="A12" s="5" t="str">
        <f>IF(E12&lt;&gt;"", "A"&amp;UPPER(LEFT(E12, 1)) &amp; TEXT(COUNTIF($E$3:E12, E12), "0000"), "")</f>
        <v>AQ0005</v>
      </c>
      <c r="B12" s="5" t="s">
        <v>63</v>
      </c>
      <c r="C12" s="5" t="s">
        <v>64</v>
      </c>
      <c r="D12" s="5" t="s">
        <v>65</v>
      </c>
      <c r="E12" s="5" t="s">
        <v>41</v>
      </c>
      <c r="F12" s="5" t="s">
        <v>20</v>
      </c>
      <c r="G12" s="5"/>
      <c r="H12" s="5" t="s">
        <v>27</v>
      </c>
      <c r="I12" s="8"/>
      <c r="J12" s="6"/>
      <c r="K12" s="6">
        <v>45208</v>
      </c>
      <c r="L12" s="5"/>
      <c r="M12" s="7" t="s">
        <v>66</v>
      </c>
      <c r="N12" s="7" t="str">
        <f t="shared" si="0"/>
        <v>AQ0005 IB Spray bar</v>
      </c>
      <c r="O12" s="10" t="s">
        <v>67</v>
      </c>
      <c r="P12" s="5"/>
    </row>
    <row r="13" spans="1:16" ht="19" customHeight="1">
      <c r="A13" s="5" t="str">
        <f>IF(E13&lt;&gt;"", "A"&amp;UPPER(LEFT(E13, 1)) &amp; TEXT(COUNTIF($E$3:E13, E13), "0000"), "")</f>
        <v>AQ0006</v>
      </c>
      <c r="B13" s="5" t="s">
        <v>68</v>
      </c>
      <c r="C13" s="5" t="s">
        <v>69</v>
      </c>
      <c r="D13" s="5" t="s">
        <v>70</v>
      </c>
      <c r="E13" s="5" t="s">
        <v>41</v>
      </c>
      <c r="F13" s="5" t="s">
        <v>53</v>
      </c>
      <c r="G13" s="5"/>
      <c r="H13" s="5" t="s">
        <v>21</v>
      </c>
      <c r="I13" s="8"/>
      <c r="J13" s="6"/>
      <c r="K13" s="6">
        <v>45210</v>
      </c>
      <c r="L13" s="5"/>
      <c r="M13" s="5"/>
      <c r="N13" s="7" t="str">
        <f t="shared" si="0"/>
        <v>AQ0006 Wodina Train 4</v>
      </c>
      <c r="O13" s="10" t="s">
        <v>71</v>
      </c>
      <c r="P13" s="5"/>
    </row>
    <row r="14" spans="1:16" ht="19" customHeight="1">
      <c r="A14" s="5" t="str">
        <f>IF(E14&lt;&gt;"", "A"&amp;UPPER(LEFT(E14, 1)) &amp; TEXT(COUNTIF($E$3:E14, E14), "0000"), "")</f>
        <v>AQ0007</v>
      </c>
      <c r="B14" s="5" t="s">
        <v>72</v>
      </c>
      <c r="C14" s="5" t="s">
        <v>73</v>
      </c>
      <c r="D14" s="5" t="s">
        <v>74</v>
      </c>
      <c r="E14" s="5" t="s">
        <v>41</v>
      </c>
      <c r="F14" s="5" t="s">
        <v>53</v>
      </c>
      <c r="G14" s="5" t="s">
        <v>75</v>
      </c>
      <c r="H14" s="5" t="s">
        <v>21</v>
      </c>
      <c r="I14" s="8"/>
      <c r="J14" s="5"/>
      <c r="K14" s="6">
        <v>45246</v>
      </c>
      <c r="L14" s="5"/>
      <c r="M14" s="5"/>
      <c r="N14" s="7" t="str">
        <f t="shared" si="0"/>
        <v>AQ0007 Talison CPG4</v>
      </c>
      <c r="O14" s="10" t="s">
        <v>76</v>
      </c>
      <c r="P14" s="5"/>
    </row>
    <row r="15" spans="1:16" ht="19" customHeight="1">
      <c r="A15" s="5" t="str">
        <f>IF(E15&lt;&gt;"", "A"&amp;UPPER(LEFT(E15, 1)) &amp; TEXT(COUNTIF($E$3:E15, E15), "0000"), "")</f>
        <v>AQ0008</v>
      </c>
      <c r="B15" s="5" t="s">
        <v>23</v>
      </c>
      <c r="C15" s="5" t="s">
        <v>24</v>
      </c>
      <c r="D15" s="5" t="s">
        <v>77</v>
      </c>
      <c r="E15" s="5" t="s">
        <v>41</v>
      </c>
      <c r="F15" s="5" t="s">
        <v>20</v>
      </c>
      <c r="G15" s="5" t="s">
        <v>78</v>
      </c>
      <c r="H15" s="5" t="s">
        <v>27</v>
      </c>
      <c r="I15" s="8"/>
      <c r="J15" s="5" t="s">
        <v>79</v>
      </c>
      <c r="K15" s="5" t="s">
        <v>80</v>
      </c>
      <c r="L15" s="5" t="s">
        <v>29</v>
      </c>
      <c r="M15" s="9"/>
      <c r="N15" s="7" t="str">
        <f t="shared" si="0"/>
        <v>AQ0008 SIMEC Wet Plant</v>
      </c>
      <c r="O15" s="10" t="s">
        <v>81</v>
      </c>
      <c r="P15" s="5"/>
    </row>
    <row r="16" spans="1:16" ht="19" customHeight="1">
      <c r="A16" s="5" t="str">
        <f>IF(E16&lt;&gt;"", "A"&amp;UPPER(LEFT(E16, 1)) &amp; TEXT(COUNTIF($E$3:E16, E16), "0000"), "")</f>
        <v>AQ0009</v>
      </c>
      <c r="B16" s="5" t="s">
        <v>23</v>
      </c>
      <c r="C16" s="5" t="s">
        <v>24</v>
      </c>
      <c r="D16" s="5" t="s">
        <v>82</v>
      </c>
      <c r="E16" s="5" t="s">
        <v>41</v>
      </c>
      <c r="F16" s="5" t="s">
        <v>20</v>
      </c>
      <c r="G16" s="5" t="s">
        <v>83</v>
      </c>
      <c r="H16" s="5" t="s">
        <v>27</v>
      </c>
      <c r="I16" s="8"/>
      <c r="J16" s="5" t="s">
        <v>84</v>
      </c>
      <c r="K16" s="5" t="s">
        <v>85</v>
      </c>
      <c r="L16" s="5" t="s">
        <v>29</v>
      </c>
      <c r="M16" s="5"/>
      <c r="N16" s="7" t="str">
        <f t="shared" si="0"/>
        <v>AQ0009 SIMEC Dry Plant</v>
      </c>
      <c r="O16" s="10" t="s">
        <v>86</v>
      </c>
      <c r="P16" s="5"/>
    </row>
    <row r="17" spans="1:17" ht="19" customHeight="1">
      <c r="A17" s="5" t="str">
        <f>IF(E17&lt;&gt;"", "A"&amp;UPPER(LEFT(E17, 1)) &amp; TEXT(COUNTIF($E$3:E17, E17), "0000"), "")</f>
        <v>AQ0010</v>
      </c>
      <c r="B17" s="5" t="s">
        <v>16</v>
      </c>
      <c r="C17" s="5" t="s">
        <v>87</v>
      </c>
      <c r="D17" s="5" t="s">
        <v>88</v>
      </c>
      <c r="E17" s="5" t="s">
        <v>41</v>
      </c>
      <c r="F17" s="5" t="s">
        <v>20</v>
      </c>
      <c r="G17" s="5" t="s">
        <v>89</v>
      </c>
      <c r="H17" s="5" t="s">
        <v>21</v>
      </c>
      <c r="I17" s="5"/>
      <c r="J17" s="5"/>
      <c r="K17" s="5"/>
      <c r="L17" s="5"/>
      <c r="M17" s="5"/>
      <c r="N17" s="7" t="str">
        <f t="shared" si="0"/>
        <v>AQ0010 Ridley LIMS</v>
      </c>
      <c r="O17" s="10" t="s">
        <v>90</v>
      </c>
      <c r="P17" s="5"/>
    </row>
    <row r="18" spans="1:17" ht="19" customHeight="1">
      <c r="A18" s="5" t="str">
        <f>IF(E18&lt;&gt;"", "A"&amp;UPPER(LEFT(E18, 1)) &amp; TEXT(COUNTIF($E$3:E18, E18), "0000"), "")</f>
        <v>AQ0011</v>
      </c>
      <c r="B18" s="5" t="s">
        <v>16</v>
      </c>
      <c r="C18" s="5" t="s">
        <v>17</v>
      </c>
      <c r="D18" s="5" t="s">
        <v>91</v>
      </c>
      <c r="E18" s="5" t="s">
        <v>41</v>
      </c>
      <c r="F18" s="5" t="s">
        <v>20</v>
      </c>
      <c r="G18" s="5"/>
      <c r="H18" s="5" t="s">
        <v>21</v>
      </c>
      <c r="I18" s="5"/>
      <c r="J18" s="5"/>
      <c r="K18" s="5"/>
      <c r="L18" s="5"/>
      <c r="M18" s="5"/>
      <c r="N18" s="7" t="str">
        <f t="shared" si="0"/>
        <v>AQ0011 DMS</v>
      </c>
      <c r="O18" s="10" t="s">
        <v>92</v>
      </c>
      <c r="P18" s="5"/>
    </row>
    <row r="19" spans="1:17" ht="19" customHeight="1">
      <c r="A19" s="5" t="str">
        <f>IF(E19&lt;&gt;"", "A"&amp;UPPER(LEFT(E19, 1)) &amp; TEXT(COUNTIF($E$3:E19, E19), "0000"), "")</f>
        <v>AC0004</v>
      </c>
      <c r="B19" s="5" t="s">
        <v>16</v>
      </c>
      <c r="C19" s="5" t="s">
        <v>87</v>
      </c>
      <c r="D19" s="5" t="s">
        <v>25</v>
      </c>
      <c r="E19" s="5" t="s">
        <v>26</v>
      </c>
      <c r="F19" s="5" t="s">
        <v>20</v>
      </c>
      <c r="G19" s="5"/>
      <c r="H19" s="5" t="s">
        <v>21</v>
      </c>
      <c r="I19" s="5"/>
      <c r="J19" s="5"/>
      <c r="K19" s="5"/>
      <c r="L19" s="5"/>
      <c r="M19" s="5"/>
      <c r="N19" s="7" t="str">
        <f t="shared" si="0"/>
        <v>AC0004 General Inquiry</v>
      </c>
      <c r="O19" s="10" t="s">
        <v>93</v>
      </c>
      <c r="P19" s="5"/>
    </row>
    <row r="20" spans="1:17" ht="19" customHeight="1">
      <c r="A20" s="5" t="str">
        <f>IF(E20&lt;&gt;"", "A"&amp;UPPER(LEFT(E20, 1)) &amp; TEXT(COUNTIF($E$3:E20, E20), "0000"), "")</f>
        <v>AC0005</v>
      </c>
      <c r="B20" s="5" t="s">
        <v>94</v>
      </c>
      <c r="C20" s="5" t="s">
        <v>95</v>
      </c>
      <c r="D20" s="5" t="s">
        <v>25</v>
      </c>
      <c r="E20" s="5" t="s">
        <v>26</v>
      </c>
      <c r="F20" s="5" t="s">
        <v>96</v>
      </c>
      <c r="G20" s="5"/>
      <c r="H20" s="5" t="s">
        <v>21</v>
      </c>
      <c r="I20" s="5"/>
      <c r="J20" s="5"/>
      <c r="K20" s="5"/>
      <c r="L20" s="5"/>
      <c r="M20" s="5"/>
      <c r="N20" s="7" t="str">
        <f t="shared" si="0"/>
        <v>AC0005 General Inquiry</v>
      </c>
      <c r="O20" s="10" t="s">
        <v>97</v>
      </c>
      <c r="P20" s="5"/>
    </row>
    <row r="21" spans="1:17" ht="19" customHeight="1">
      <c r="A21" s="5" t="str">
        <f>IF(E21&lt;&gt;"", "A"&amp;UPPER(LEFT(E21, 1)) &amp; TEXT(COUNTIF($E$3:E21, E21), "0000"), "")</f>
        <v>AC0006</v>
      </c>
      <c r="B21" s="5" t="s">
        <v>98</v>
      </c>
      <c r="C21" s="5" t="s">
        <v>99</v>
      </c>
      <c r="D21" s="5" t="s">
        <v>25</v>
      </c>
      <c r="E21" s="5" t="s">
        <v>26</v>
      </c>
      <c r="F21" s="5" t="s">
        <v>20</v>
      </c>
      <c r="G21" s="5"/>
      <c r="H21" s="5" t="s">
        <v>27</v>
      </c>
      <c r="I21" s="5"/>
      <c r="J21" s="5" t="s">
        <v>100</v>
      </c>
      <c r="K21" s="5"/>
      <c r="L21" s="5" t="s">
        <v>101</v>
      </c>
      <c r="M21" s="5"/>
      <c r="N21" s="7" t="str">
        <f t="shared" si="0"/>
        <v>AC0006 General Inquiry</v>
      </c>
      <c r="O21" s="10" t="s">
        <v>102</v>
      </c>
      <c r="P21" s="5"/>
    </row>
    <row r="22" spans="1:17" ht="19" customHeight="1">
      <c r="A22" s="5" t="str">
        <f>IF(E22&lt;&gt;"", "A"&amp;UPPER(LEFT(E22, 1)) &amp; TEXT(COUNTIF($E$3:E22, E22), "0000"), "")</f>
        <v>AT0003</v>
      </c>
      <c r="B22" s="5" t="s">
        <v>50</v>
      </c>
      <c r="C22" s="5" t="s">
        <v>51</v>
      </c>
      <c r="D22" s="5" t="s">
        <v>25</v>
      </c>
      <c r="E22" s="5" t="s">
        <v>19</v>
      </c>
      <c r="F22" s="5" t="s">
        <v>53</v>
      </c>
      <c r="G22" s="5"/>
      <c r="H22" s="5" t="s">
        <v>21</v>
      </c>
      <c r="I22" s="5"/>
      <c r="J22" s="5"/>
      <c r="K22" s="5"/>
      <c r="L22" s="5"/>
      <c r="M22" s="5"/>
      <c r="N22" s="7" t="str">
        <f t="shared" si="0"/>
        <v>AT0003 General Inquiry</v>
      </c>
      <c r="O22" s="10" t="s">
        <v>103</v>
      </c>
      <c r="P22" s="5"/>
    </row>
    <row r="23" spans="1:17" ht="19" customHeight="1">
      <c r="A23" s="5" t="str">
        <f>IF(E23&lt;&gt;"", "A"&amp;UPPER(LEFT(E23, 1)) &amp; TEXT(COUNTIF($E$3:E23, E23), "0000"), "")</f>
        <v>AT0004</v>
      </c>
      <c r="B23" s="5" t="s">
        <v>16</v>
      </c>
      <c r="C23" s="5" t="s">
        <v>87</v>
      </c>
      <c r="D23" s="5" t="s">
        <v>104</v>
      </c>
      <c r="E23" s="5" t="s">
        <v>19</v>
      </c>
      <c r="F23" s="5" t="s">
        <v>20</v>
      </c>
      <c r="G23" s="5"/>
      <c r="H23" s="5" t="s">
        <v>21</v>
      </c>
      <c r="I23" s="5"/>
      <c r="J23" s="5"/>
      <c r="K23" s="5"/>
      <c r="L23" s="5"/>
      <c r="M23" s="5" t="s">
        <v>105</v>
      </c>
      <c r="N23" s="7" t="str">
        <f t="shared" si="0"/>
        <v>AT0004 LIMS Scale-up Testwork</v>
      </c>
      <c r="O23" s="10" t="s">
        <v>106</v>
      </c>
      <c r="P23" s="5"/>
    </row>
    <row r="24" spans="1:17" ht="19" customHeight="1">
      <c r="A24" s="5" t="str">
        <f>IF(E24&lt;&gt;"", "A"&amp;UPPER(LEFT(E24, 1)) &amp; TEXT(COUNTIF($E$3:E24, E24), "0000"), "")</f>
        <v>AT0005</v>
      </c>
      <c r="B24" s="5" t="s">
        <v>16</v>
      </c>
      <c r="C24" s="5" t="s">
        <v>87</v>
      </c>
      <c r="D24" s="5" t="s">
        <v>107</v>
      </c>
      <c r="E24" s="5" t="s">
        <v>19</v>
      </c>
      <c r="F24" s="5" t="s">
        <v>20</v>
      </c>
      <c r="G24" s="5"/>
      <c r="H24" s="5" t="s">
        <v>21</v>
      </c>
      <c r="I24" s="5"/>
      <c r="J24" s="5"/>
      <c r="K24" s="5"/>
      <c r="L24" s="5"/>
      <c r="M24" s="5"/>
      <c r="N24" s="7" t="str">
        <f t="shared" si="0"/>
        <v>AT0005 LJC Fiber Removal Testwork</v>
      </c>
      <c r="O24" s="10" t="s">
        <v>108</v>
      </c>
      <c r="P24" s="5"/>
    </row>
    <row r="25" spans="1:17" ht="19" customHeight="1">
      <c r="A25" s="5" t="str">
        <f>IF(E25&lt;&gt;"", "A"&amp;UPPER(LEFT(E25, 1)) &amp; TEXT(COUNTIF($E$3:E25, E25), "0000"), "")</f>
        <v>AQ0012</v>
      </c>
      <c r="B25" s="5" t="s">
        <v>63</v>
      </c>
      <c r="C25" s="5" t="s">
        <v>64</v>
      </c>
      <c r="D25" s="5" t="s">
        <v>109</v>
      </c>
      <c r="E25" s="5" t="s">
        <v>41</v>
      </c>
      <c r="F25" s="5" t="s">
        <v>20</v>
      </c>
      <c r="G25" s="5"/>
      <c r="H25" s="5" t="s">
        <v>27</v>
      </c>
      <c r="I25" s="5"/>
      <c r="J25" s="5"/>
      <c r="K25" s="5"/>
      <c r="L25" s="5"/>
      <c r="M25" s="5"/>
      <c r="N25" s="7" t="str">
        <f t="shared" si="0"/>
        <v>AQ0012 dewater drum replacement</v>
      </c>
      <c r="O25" s="10" t="s">
        <v>110</v>
      </c>
      <c r="P25" s="5"/>
    </row>
    <row r="26" spans="1:17" ht="19" customHeight="1">
      <c r="A26" s="5" t="str">
        <f>IF(E26&lt;&gt;"", "A"&amp;UPPER(LEFT(E26, 1)) &amp; TEXT(COUNTIF($E$3:E26, E26), "0000"), "")</f>
        <v>AQ0013</v>
      </c>
      <c r="B26" s="5" t="s">
        <v>38</v>
      </c>
      <c r="C26" s="5" t="s">
        <v>111</v>
      </c>
      <c r="D26" s="5" t="s">
        <v>112</v>
      </c>
      <c r="E26" s="5" t="s">
        <v>41</v>
      </c>
      <c r="F26" s="5" t="s">
        <v>20</v>
      </c>
      <c r="G26" s="5" t="s">
        <v>42</v>
      </c>
      <c r="H26" s="5" t="s">
        <v>27</v>
      </c>
      <c r="I26" s="5"/>
      <c r="J26" s="5">
        <v>2022</v>
      </c>
      <c r="K26" s="5"/>
      <c r="L26" s="5" t="s">
        <v>29</v>
      </c>
      <c r="M26" s="5" t="s">
        <v>113</v>
      </c>
      <c r="N26" s="7" t="str">
        <f t="shared" si="0"/>
        <v>AQ0013 DRY+WET new plant</v>
      </c>
      <c r="O26" s="10" t="s">
        <v>114</v>
      </c>
      <c r="P26" s="5"/>
    </row>
    <row r="27" spans="1:17" ht="19" customHeight="1">
      <c r="A27" s="5" t="str">
        <f>IF(E27&lt;&gt;"", "A"&amp;UPPER(LEFT(E27, 1)) &amp; TEXT(COUNTIF($E$3:E27, E27), "0000"), "")</f>
        <v>AT0006</v>
      </c>
      <c r="B27" s="5" t="s">
        <v>115</v>
      </c>
      <c r="C27" s="5" t="s">
        <v>116</v>
      </c>
      <c r="D27" s="5" t="s">
        <v>117</v>
      </c>
      <c r="E27" s="5" t="s">
        <v>19</v>
      </c>
      <c r="F27" s="5" t="s">
        <v>20</v>
      </c>
      <c r="G27" s="5" t="s">
        <v>61</v>
      </c>
      <c r="H27" s="5" t="s">
        <v>27</v>
      </c>
      <c r="I27" s="5"/>
      <c r="J27" s="5">
        <v>2019</v>
      </c>
      <c r="K27" s="5"/>
      <c r="L27" s="5" t="s">
        <v>29</v>
      </c>
      <c r="M27" s="5"/>
      <c r="N27" s="7" t="str">
        <f t="shared" si="0"/>
        <v>AT0006  Developing Plant</v>
      </c>
      <c r="O27" s="10" t="s">
        <v>118</v>
      </c>
      <c r="P27" s="5"/>
    </row>
    <row r="28" spans="1:17" ht="19" customHeight="1">
      <c r="A28" s="5" t="str">
        <f>IF(E28&lt;&gt;"", "A"&amp;UPPER(LEFT(E28, 1)) &amp; TEXT(COUNTIF($E$3:E28, E28), "0000"), "")</f>
        <v>AC0007</v>
      </c>
      <c r="B28" s="5" t="s">
        <v>119</v>
      </c>
      <c r="C28" s="5" t="s">
        <v>120</v>
      </c>
      <c r="D28" s="5" t="s">
        <v>121</v>
      </c>
      <c r="E28" s="5" t="s">
        <v>26</v>
      </c>
      <c r="F28" s="5" t="s">
        <v>53</v>
      </c>
      <c r="G28" s="5"/>
      <c r="H28" s="5" t="s">
        <v>21</v>
      </c>
      <c r="I28" s="5"/>
      <c r="J28" s="5"/>
      <c r="K28" s="5"/>
      <c r="L28" s="5"/>
      <c r="M28" s="5"/>
      <c r="N28" s="7" t="str">
        <f t="shared" si="0"/>
        <v>AC0007 GOULAMINA LITHIUM EXPANSION PROJECT</v>
      </c>
      <c r="O28" s="10" t="s">
        <v>122</v>
      </c>
      <c r="P28" s="5"/>
    </row>
    <row r="29" spans="1:17" ht="19" customHeight="1">
      <c r="A29" s="5" t="str">
        <f>IF(E29&lt;&gt;"", "A"&amp;UPPER(LEFT(E29, 1)) &amp; TEXT(COUNTIF($E$3:E29, E29), "0000"), "")</f>
        <v>AC0008</v>
      </c>
      <c r="B29" s="5" t="s">
        <v>123</v>
      </c>
      <c r="C29" s="5" t="s">
        <v>124</v>
      </c>
      <c r="D29" s="5" t="s">
        <v>25</v>
      </c>
      <c r="E29" s="5" t="s">
        <v>26</v>
      </c>
      <c r="F29" s="5" t="s">
        <v>20</v>
      </c>
      <c r="G29" s="5"/>
      <c r="H29" s="5" t="s">
        <v>27</v>
      </c>
      <c r="I29" s="5"/>
      <c r="J29" s="5" t="s">
        <v>125</v>
      </c>
      <c r="K29" s="5"/>
      <c r="L29" s="5" t="s">
        <v>126</v>
      </c>
      <c r="M29" s="5"/>
      <c r="N29" s="7" t="str">
        <f t="shared" si="0"/>
        <v>AC0008 General Inquiry</v>
      </c>
      <c r="O29" s="10" t="s">
        <v>127</v>
      </c>
      <c r="P29" s="5"/>
      <c r="Q29" s="14" t="s">
        <v>128</v>
      </c>
    </row>
    <row r="30" spans="1:17" ht="19" customHeight="1">
      <c r="A30" s="5" t="str">
        <f>IF(E30&lt;&gt;"", "A"&amp;UPPER(LEFT(E30, 1)) &amp; TEXT(COUNTIF($E$3:E30, E30), "0000"), "")</f>
        <v>AT0007</v>
      </c>
      <c r="B30" s="5" t="s">
        <v>63</v>
      </c>
      <c r="C30" s="5" t="s">
        <v>64</v>
      </c>
      <c r="D30" s="5" t="s">
        <v>129</v>
      </c>
      <c r="E30" s="5" t="s">
        <v>19</v>
      </c>
      <c r="F30" s="5" t="s">
        <v>20</v>
      </c>
      <c r="G30" s="5" t="s">
        <v>42</v>
      </c>
      <c r="H30" s="5" t="s">
        <v>27</v>
      </c>
      <c r="I30" s="5"/>
      <c r="J30" s="5">
        <v>2017</v>
      </c>
      <c r="K30" s="5"/>
      <c r="L30" s="5" t="s">
        <v>130</v>
      </c>
      <c r="M30" s="5"/>
      <c r="N30" s="7" t="str">
        <f t="shared" si="0"/>
        <v>AT0007 LJC Testwork</v>
      </c>
      <c r="O30" s="10" t="s">
        <v>131</v>
      </c>
      <c r="P30" s="5"/>
    </row>
    <row r="31" spans="1:17" ht="19" customHeight="1">
      <c r="A31" s="5" t="str">
        <f>IF(E31&lt;&gt;"", "A"&amp;UPPER(LEFT(E31, 1)) &amp; TEXT(COUNTIF($E$3:E31, E31), "0000"), "")</f>
        <v>AT0008</v>
      </c>
      <c r="B31" s="5" t="s">
        <v>63</v>
      </c>
      <c r="C31" s="5" t="s">
        <v>132</v>
      </c>
      <c r="D31" s="5" t="s">
        <v>46</v>
      </c>
      <c r="E31" s="5" t="s">
        <v>19</v>
      </c>
      <c r="F31" s="5" t="s">
        <v>133</v>
      </c>
      <c r="G31" s="5"/>
      <c r="H31" s="5" t="s">
        <v>27</v>
      </c>
      <c r="I31" s="5"/>
      <c r="J31" s="5">
        <v>2017</v>
      </c>
      <c r="K31" s="5"/>
      <c r="L31" s="5" t="s">
        <v>134</v>
      </c>
      <c r="M31" s="5"/>
      <c r="N31" s="7" t="str">
        <f t="shared" si="0"/>
        <v>AT0008 WHIMS Testwork</v>
      </c>
      <c r="O31" s="10" t="s">
        <v>135</v>
      </c>
      <c r="P31" s="5"/>
    </row>
    <row r="32" spans="1:17" ht="19" customHeight="1">
      <c r="A32" s="5" t="str">
        <f>IF(E32&lt;&gt;"", "A"&amp;UPPER(LEFT(E32, 1)) &amp; TEXT(COUNTIF($E$3:E32, E32), "0000"), "")</f>
        <v>AP0001</v>
      </c>
      <c r="B32" s="5" t="s">
        <v>63</v>
      </c>
      <c r="C32" s="5" t="s">
        <v>136</v>
      </c>
      <c r="D32" s="5" t="s">
        <v>137</v>
      </c>
      <c r="E32" s="5" t="s">
        <v>138</v>
      </c>
      <c r="F32" s="5" t="s">
        <v>133</v>
      </c>
      <c r="G32" s="5"/>
      <c r="H32" s="5" t="s">
        <v>27</v>
      </c>
      <c r="I32" s="5"/>
      <c r="J32" s="5">
        <v>2020</v>
      </c>
      <c r="K32" s="5"/>
      <c r="L32" s="5" t="s">
        <v>139</v>
      </c>
      <c r="M32" s="5"/>
      <c r="N32" s="7" t="str">
        <f t="shared" si="0"/>
        <v>AP0001 Spare Parts</v>
      </c>
      <c r="O32" s="10" t="s">
        <v>140</v>
      </c>
      <c r="P32" s="5"/>
    </row>
    <row r="33" spans="1:16" ht="19" customHeight="1">
      <c r="A33" s="5" t="str">
        <f>IF(E33&lt;&gt;"", "A"&amp;UPPER(LEFT(E33, 1)) &amp; TEXT(COUNTIF($E$3:E33, E33), "0000"), "")</f>
        <v>AT0009</v>
      </c>
      <c r="B33" s="5" t="s">
        <v>63</v>
      </c>
      <c r="C33" s="5" t="s">
        <v>141</v>
      </c>
      <c r="D33" s="5" t="s">
        <v>46</v>
      </c>
      <c r="E33" s="5" t="s">
        <v>19</v>
      </c>
      <c r="F33" s="5" t="s">
        <v>133</v>
      </c>
      <c r="G33" s="5"/>
      <c r="H33" s="5" t="s">
        <v>27</v>
      </c>
      <c r="I33" s="5"/>
      <c r="J33" s="5">
        <v>2017</v>
      </c>
      <c r="K33" s="5"/>
      <c r="L33" s="5" t="s">
        <v>142</v>
      </c>
      <c r="M33" s="5"/>
      <c r="N33" s="7" t="str">
        <f t="shared" si="0"/>
        <v>AT0009 WHIMS Testwork</v>
      </c>
      <c r="O33" s="10" t="s">
        <v>143</v>
      </c>
      <c r="P33" s="5"/>
    </row>
    <row r="34" spans="1:16" ht="19" customHeight="1">
      <c r="A34" s="5" t="str">
        <f>IF(E34&lt;&gt;"", "A"&amp;UPPER(LEFT(E34, 1)) &amp; TEXT(COUNTIF($E$3:E34, E34), "0000"), "")</f>
        <v>AT0010</v>
      </c>
      <c r="B34" s="5" t="s">
        <v>144</v>
      </c>
      <c r="C34" s="5" t="s">
        <v>145</v>
      </c>
      <c r="D34" s="5" t="s">
        <v>146</v>
      </c>
      <c r="E34" s="5" t="s">
        <v>19</v>
      </c>
      <c r="F34" s="5" t="s">
        <v>20</v>
      </c>
      <c r="G34" s="5" t="s">
        <v>48</v>
      </c>
      <c r="H34" s="5" t="s">
        <v>27</v>
      </c>
      <c r="I34" s="5"/>
      <c r="J34" s="5" t="s">
        <v>147</v>
      </c>
      <c r="K34" s="5"/>
      <c r="L34" s="5" t="s">
        <v>29</v>
      </c>
      <c r="M34" s="5" t="s">
        <v>148</v>
      </c>
      <c r="N34" s="7" t="str">
        <f t="shared" si="0"/>
        <v>AT0010 Fine Dry Magnetic Separation testing</v>
      </c>
      <c r="O34" s="10" t="s">
        <v>149</v>
      </c>
      <c r="P34" s="5"/>
    </row>
    <row r="35" spans="1:16" ht="19" customHeight="1">
      <c r="A35" s="5" t="str">
        <f>IF(E35&lt;&gt;"", "A"&amp;UPPER(LEFT(E35, 1)) &amp; TEXT(COUNTIF($E$3:E35, E35), "0000"), "")</f>
        <v>AQ0014</v>
      </c>
      <c r="B35" s="5" t="s">
        <v>150</v>
      </c>
      <c r="C35" s="5" t="s">
        <v>151</v>
      </c>
      <c r="D35" s="5" t="s">
        <v>152</v>
      </c>
      <c r="E35" s="5" t="s">
        <v>41</v>
      </c>
      <c r="F35" s="5" t="s">
        <v>20</v>
      </c>
      <c r="G35" s="5" t="s">
        <v>48</v>
      </c>
      <c r="H35" s="5" t="s">
        <v>27</v>
      </c>
      <c r="I35" s="5"/>
      <c r="J35" s="5" t="s">
        <v>80</v>
      </c>
      <c r="K35" s="5" t="s">
        <v>153</v>
      </c>
      <c r="L35" s="5" t="s">
        <v>29</v>
      </c>
      <c r="M35" s="5"/>
      <c r="N35" s="7" t="str">
        <f t="shared" si="0"/>
        <v>AQ0014 LIMS+WHIMS</v>
      </c>
      <c r="O35" s="10" t="s">
        <v>154</v>
      </c>
      <c r="P35" s="5"/>
    </row>
    <row r="36" spans="1:16" ht="19" customHeight="1">
      <c r="A36" s="5" t="str">
        <f>IF(E36&lt;&gt;"", "A"&amp;UPPER(LEFT(E36, 1)) &amp; TEXT(COUNTIF($E$3:E36, E36), "0000"), "")</f>
        <v>AS0001</v>
      </c>
      <c r="B36" s="5" t="s">
        <v>68</v>
      </c>
      <c r="C36" s="5" t="s">
        <v>155</v>
      </c>
      <c r="D36" s="5" t="s">
        <v>156</v>
      </c>
      <c r="E36" s="5" t="s">
        <v>156</v>
      </c>
      <c r="F36" s="5" t="s">
        <v>53</v>
      </c>
      <c r="G36" s="5"/>
      <c r="H36" s="5" t="s">
        <v>21</v>
      </c>
      <c r="I36" s="5"/>
      <c r="J36" s="5"/>
      <c r="K36" s="5"/>
      <c r="L36" s="5"/>
      <c r="M36" s="5"/>
      <c r="N36" s="7" t="str">
        <f t="shared" si="0"/>
        <v>AS0001 Service</v>
      </c>
      <c r="O36" s="10" t="s">
        <v>157</v>
      </c>
      <c r="P36" s="5"/>
    </row>
    <row r="37" spans="1:16" ht="19" customHeight="1">
      <c r="A37" s="5" t="str">
        <f>IF(E37&lt;&gt;"", "A"&amp;UPPER(LEFT(E37, 1)) &amp; TEXT(COUNTIF($E$3:E37, E37), "0000"), "")</f>
        <v>AT0011</v>
      </c>
      <c r="B37" s="5" t="s">
        <v>158</v>
      </c>
      <c r="C37" s="5" t="s">
        <v>159</v>
      </c>
      <c r="D37" s="5" t="s">
        <v>46</v>
      </c>
      <c r="E37" s="5" t="s">
        <v>19</v>
      </c>
      <c r="F37" s="5" t="s">
        <v>133</v>
      </c>
      <c r="G37" s="5"/>
      <c r="H37" s="5" t="s">
        <v>21</v>
      </c>
      <c r="I37" s="5"/>
      <c r="J37" s="5"/>
      <c r="K37" s="5"/>
      <c r="L37" s="5"/>
      <c r="M37" s="5"/>
      <c r="N37" s="7" t="str">
        <f t="shared" si="0"/>
        <v>AT0011 WHIMS Testwork</v>
      </c>
      <c r="O37" s="10" t="s">
        <v>160</v>
      </c>
      <c r="P37" s="5"/>
    </row>
    <row r="38" spans="1:16" ht="19" customHeight="1">
      <c r="A38" s="5" t="str">
        <f>IF(E38&lt;&gt;"", "A"&amp;UPPER(LEFT(E38, 1)) &amp; TEXT(COUNTIF($E$3:E38, E38), "0000"), "")</f>
        <v>AT0012</v>
      </c>
      <c r="B38" s="5" t="s">
        <v>158</v>
      </c>
      <c r="C38" s="5" t="s">
        <v>161</v>
      </c>
      <c r="D38" s="5" t="s">
        <v>46</v>
      </c>
      <c r="E38" s="5" t="s">
        <v>19</v>
      </c>
      <c r="F38" s="5" t="s">
        <v>133</v>
      </c>
      <c r="G38" s="5"/>
      <c r="H38" s="5" t="s">
        <v>21</v>
      </c>
      <c r="I38" s="5"/>
      <c r="J38" s="5"/>
      <c r="K38" s="5"/>
      <c r="L38" s="5"/>
      <c r="M38" s="5"/>
      <c r="N38" s="7" t="str">
        <f t="shared" si="0"/>
        <v>AT0012 WHIMS Testwork</v>
      </c>
      <c r="O38" s="10" t="s">
        <v>162</v>
      </c>
      <c r="P38" s="5"/>
    </row>
    <row r="39" spans="1:16" ht="19" customHeight="1">
      <c r="A39" s="5" t="str">
        <f>IF(E39&lt;&gt;"", "A"&amp;UPPER(LEFT(E39, 1)) &amp; TEXT(COUNTIF($E$3:E39, E39), "0000"), "")</f>
        <v>AQ0015</v>
      </c>
      <c r="B39" s="5" t="s">
        <v>163</v>
      </c>
      <c r="C39" s="5" t="s">
        <v>876</v>
      </c>
      <c r="D39" s="5" t="s">
        <v>164</v>
      </c>
      <c r="E39" s="5" t="s">
        <v>41</v>
      </c>
      <c r="F39" s="5" t="s">
        <v>53</v>
      </c>
      <c r="G39" s="5"/>
      <c r="H39" s="5" t="s">
        <v>21</v>
      </c>
      <c r="I39" s="5"/>
      <c r="J39" s="5"/>
      <c r="K39" s="5"/>
      <c r="L39" s="5"/>
      <c r="M39" s="5"/>
      <c r="N39" s="7" t="str">
        <f t="shared" si="0"/>
        <v>AQ0015 Murchison</v>
      </c>
      <c r="O39" s="10" t="s">
        <v>165</v>
      </c>
      <c r="P39" s="5"/>
    </row>
    <row r="40" spans="1:16" ht="19" customHeight="1">
      <c r="A40" s="5" t="str">
        <f>IF(E40&lt;&gt;"", "A"&amp;UPPER(LEFT(E40, 1)) &amp; TEXT(COUNTIF($E$3:E40, E40), "0000"), "")</f>
        <v>AQ0016</v>
      </c>
      <c r="B40" s="5" t="s">
        <v>166</v>
      </c>
      <c r="C40" s="5" t="s">
        <v>167</v>
      </c>
      <c r="D40" s="5" t="s">
        <v>168</v>
      </c>
      <c r="E40" s="5" t="s">
        <v>41</v>
      </c>
      <c r="F40" s="5" t="s">
        <v>53</v>
      </c>
      <c r="G40" s="5"/>
      <c r="H40" s="5" t="s">
        <v>21</v>
      </c>
      <c r="I40" s="5"/>
      <c r="J40" s="5"/>
      <c r="K40" s="5"/>
      <c r="L40" s="5"/>
      <c r="M40" s="5"/>
      <c r="N40" s="7" t="str">
        <f t="shared" si="0"/>
        <v>AQ0016 Mount Holland Lithium Expansion</v>
      </c>
      <c r="O40" s="10" t="s">
        <v>169</v>
      </c>
      <c r="P40" s="5"/>
    </row>
    <row r="41" spans="1:16" ht="19" customHeight="1">
      <c r="A41" s="5" t="str">
        <f>IF(E41&lt;&gt;"", "A"&amp;UPPER(LEFT(E41, 1)) &amp; TEXT(COUNTIF($E$3:E41, E41), "0000"), "")</f>
        <v>AT0013</v>
      </c>
      <c r="B41" s="5" t="s">
        <v>166</v>
      </c>
      <c r="C41" s="5" t="s">
        <v>167</v>
      </c>
      <c r="D41" s="5" t="s">
        <v>170</v>
      </c>
      <c r="E41" s="5" t="s">
        <v>19</v>
      </c>
      <c r="F41" s="5" t="s">
        <v>53</v>
      </c>
      <c r="G41" s="5"/>
      <c r="H41" s="5" t="s">
        <v>21</v>
      </c>
      <c r="I41" s="5"/>
      <c r="J41" s="5"/>
      <c r="K41" s="5"/>
      <c r="L41" s="5"/>
      <c r="M41" s="5"/>
      <c r="N41" s="7" t="str">
        <f t="shared" si="0"/>
        <v>AT0013 Chemical Plant</v>
      </c>
      <c r="O41" s="10" t="s">
        <v>171</v>
      </c>
      <c r="P41" s="5"/>
    </row>
    <row r="42" spans="1:16" ht="19" customHeight="1">
      <c r="A42" s="5" t="str">
        <f>IF(E42&lt;&gt;"", "A"&amp;UPPER(LEFT(E42, 1)) &amp; TEXT(COUNTIF($E$3:E42, E42), "0000"), "")</f>
        <v>AC0009</v>
      </c>
      <c r="B42" s="5" t="s">
        <v>172</v>
      </c>
      <c r="C42" s="5" t="s">
        <v>173</v>
      </c>
      <c r="D42" s="5" t="s">
        <v>174</v>
      </c>
      <c r="E42" s="5" t="s">
        <v>26</v>
      </c>
      <c r="F42" s="5" t="s">
        <v>53</v>
      </c>
      <c r="G42" s="5"/>
      <c r="H42" s="5" t="s">
        <v>21</v>
      </c>
      <c r="I42" s="5"/>
      <c r="J42" s="5"/>
      <c r="K42" s="5"/>
      <c r="L42" s="5"/>
      <c r="M42" s="5"/>
      <c r="N42" s="7" t="str">
        <f t="shared" si="0"/>
        <v>AC0009 Kathleen Valley Lithium – Tantalum Expansion Project</v>
      </c>
      <c r="O42" s="10" t="s">
        <v>175</v>
      </c>
      <c r="P42" s="5"/>
    </row>
    <row r="43" spans="1:16" ht="19" customHeight="1">
      <c r="A43" s="5" t="str">
        <f>IF(E43&lt;&gt;"", "A"&amp;UPPER(LEFT(E43, 1)) &amp; TEXT(COUNTIF($E$3:E43, E43), "0000"), "")</f>
        <v>AC0010</v>
      </c>
      <c r="B43" s="5" t="s">
        <v>172</v>
      </c>
      <c r="C43" s="5" t="s">
        <v>176</v>
      </c>
      <c r="D43" s="5" t="s">
        <v>176</v>
      </c>
      <c r="E43" s="5" t="s">
        <v>26</v>
      </c>
      <c r="F43" s="5" t="s">
        <v>53</v>
      </c>
      <c r="G43" s="5"/>
      <c r="H43" s="5" t="s">
        <v>21</v>
      </c>
      <c r="I43" s="5"/>
      <c r="J43" s="5"/>
      <c r="K43" s="5"/>
      <c r="L43" s="5"/>
      <c r="M43" s="5"/>
      <c r="N43" s="7" t="str">
        <f t="shared" si="0"/>
        <v>AC0010 Buldania</v>
      </c>
      <c r="O43" s="10" t="s">
        <v>177</v>
      </c>
      <c r="P43" s="5"/>
    </row>
    <row r="44" spans="1:16" ht="19" customHeight="1">
      <c r="A44" s="5" t="str">
        <f>IF(E44&lt;&gt;"", "A"&amp;UPPER(LEFT(E44, 1)) &amp; TEXT(COUNTIF($E$3:E44, E44), "0000"), "")</f>
        <v>AQ0017</v>
      </c>
      <c r="B44" s="5" t="s">
        <v>178</v>
      </c>
      <c r="C44" s="5" t="s">
        <v>179</v>
      </c>
      <c r="D44" s="5" t="s">
        <v>180</v>
      </c>
      <c r="E44" s="5" t="s">
        <v>41</v>
      </c>
      <c r="F44" s="5" t="s">
        <v>20</v>
      </c>
      <c r="G44" s="5"/>
      <c r="H44" s="5" t="s">
        <v>235</v>
      </c>
      <c r="I44" s="5"/>
      <c r="J44" s="5"/>
      <c r="K44" s="5"/>
      <c r="L44" s="5"/>
      <c r="M44" s="5"/>
      <c r="N44" s="7" t="str">
        <f t="shared" si="0"/>
        <v>AQ0017 Spray bar</v>
      </c>
      <c r="O44" s="10" t="s">
        <v>182</v>
      </c>
      <c r="P44" s="5"/>
    </row>
    <row r="45" spans="1:16" ht="19" customHeight="1">
      <c r="A45" s="5" t="str">
        <f>IF(E45&lt;&gt;"", "A"&amp;UPPER(LEFT(E45, 1)) &amp; TEXT(COUNTIF($E$3:E45, E45), "0000"), "")</f>
        <v>AQ0018</v>
      </c>
      <c r="B45" s="5" t="s">
        <v>183</v>
      </c>
      <c r="C45" s="5" t="s">
        <v>184</v>
      </c>
      <c r="D45" s="5" t="s">
        <v>185</v>
      </c>
      <c r="E45" s="5" t="s">
        <v>41</v>
      </c>
      <c r="F45" s="5" t="s">
        <v>20</v>
      </c>
      <c r="G45" s="5"/>
      <c r="H45" s="5" t="s">
        <v>27</v>
      </c>
      <c r="I45" s="5"/>
      <c r="J45" s="5"/>
      <c r="K45" s="5"/>
      <c r="L45" s="5"/>
      <c r="M45" s="5"/>
      <c r="N45" s="7" t="str">
        <f t="shared" si="0"/>
        <v xml:space="preserve">AQ0018 DLIMS </v>
      </c>
      <c r="O45" s="10" t="s">
        <v>186</v>
      </c>
      <c r="P45" s="5"/>
    </row>
    <row r="46" spans="1:16" ht="19" customHeight="1">
      <c r="A46" s="5" t="str">
        <f>IF(E46&lt;&gt;"", "A"&amp;UPPER(LEFT(E46, 1)) &amp; TEXT(COUNTIF($E$3:E46, E46), "0000"), "")</f>
        <v>AC0011</v>
      </c>
      <c r="B46" s="5" t="s">
        <v>187</v>
      </c>
      <c r="C46" s="5" t="s">
        <v>188</v>
      </c>
      <c r="D46" s="5" t="s">
        <v>189</v>
      </c>
      <c r="E46" s="5" t="s">
        <v>26</v>
      </c>
      <c r="F46" s="5" t="s">
        <v>47</v>
      </c>
      <c r="G46" s="5"/>
      <c r="H46" s="5" t="s">
        <v>235</v>
      </c>
      <c r="I46" s="5"/>
      <c r="J46" s="5"/>
      <c r="K46" s="5"/>
      <c r="L46" s="5"/>
      <c r="M46" s="5"/>
      <c r="N46" s="7" t="str">
        <f t="shared" si="0"/>
        <v>AC0011 WHIMS Plant</v>
      </c>
      <c r="O46" s="10" t="s">
        <v>190</v>
      </c>
      <c r="P46" s="5"/>
    </row>
    <row r="47" spans="1:16" ht="19" customHeight="1">
      <c r="A47" s="5" t="str">
        <f>IF(E47&lt;&gt;"", "A"&amp;UPPER(LEFT(E47, 1)) &amp; TEXT(COUNTIF($E$3:E47, E47), "0000"), "")</f>
        <v>AS0002</v>
      </c>
      <c r="B47" s="5" t="s">
        <v>72</v>
      </c>
      <c r="C47" s="5" t="s">
        <v>73</v>
      </c>
      <c r="D47" s="5" t="s">
        <v>851</v>
      </c>
      <c r="E47" s="5" t="s">
        <v>156</v>
      </c>
      <c r="F47" s="5" t="s">
        <v>53</v>
      </c>
      <c r="G47" s="5" t="s">
        <v>75</v>
      </c>
      <c r="H47" s="5" t="s">
        <v>21</v>
      </c>
      <c r="I47" s="5"/>
      <c r="J47" s="5"/>
      <c r="K47" s="5"/>
      <c r="L47" s="5"/>
      <c r="M47" s="5" t="s">
        <v>191</v>
      </c>
      <c r="N47" s="7" t="str">
        <f t="shared" si="0"/>
        <v>AS0002 CGP3 Equipment Inspection</v>
      </c>
      <c r="O47" s="10" t="s">
        <v>192</v>
      </c>
      <c r="P47" s="5"/>
    </row>
    <row r="48" spans="1:16" ht="19" customHeight="1">
      <c r="A48" s="5" t="str">
        <f>IF(E48&lt;&gt;"", "A"&amp;UPPER(LEFT(E48, 1)) &amp; TEXT(COUNTIF($E$3:E48, E48), "0000"), "")</f>
        <v>AT0014</v>
      </c>
      <c r="B48" s="5" t="s">
        <v>183</v>
      </c>
      <c r="C48" s="5" t="s">
        <v>184</v>
      </c>
      <c r="D48" s="5" t="s">
        <v>238</v>
      </c>
      <c r="E48" s="5" t="s">
        <v>19</v>
      </c>
      <c r="F48" s="5" t="s">
        <v>20</v>
      </c>
      <c r="G48" s="5"/>
      <c r="H48" s="5" t="s">
        <v>27</v>
      </c>
      <c r="I48" s="5"/>
      <c r="J48" s="5"/>
      <c r="K48" s="5"/>
      <c r="L48" s="5"/>
      <c r="M48" s="5"/>
      <c r="N48" s="7" t="str">
        <f t="shared" si="0"/>
        <v>AT0014 Dry Magnetic Separation Testwork(BV)</v>
      </c>
      <c r="O48" s="10" t="s">
        <v>239</v>
      </c>
      <c r="P48" s="5"/>
    </row>
    <row r="49" spans="1:16" ht="19" customHeight="1">
      <c r="A49" s="5" t="str">
        <f>IF(E49&lt;&gt;"", "A"&amp;UPPER(LEFT(E49, 1)) &amp; TEXT(COUNTIF($E$3:E49, E49), "0000"), "")</f>
        <v>AQ0019</v>
      </c>
      <c r="B49" s="5" t="s">
        <v>23</v>
      </c>
      <c r="C49" s="5" t="s">
        <v>32</v>
      </c>
      <c r="D49" s="5" t="s">
        <v>240</v>
      </c>
      <c r="E49" s="5" t="s">
        <v>41</v>
      </c>
      <c r="F49" s="5" t="s">
        <v>20</v>
      </c>
      <c r="G49" s="5"/>
      <c r="H49" s="5" t="s">
        <v>27</v>
      </c>
      <c r="I49" s="5"/>
      <c r="J49" s="5" t="s">
        <v>241</v>
      </c>
      <c r="K49" s="5"/>
      <c r="L49" s="5" t="s">
        <v>242</v>
      </c>
      <c r="M49" s="5"/>
      <c r="N49" s="7" t="str">
        <f t="shared" si="0"/>
        <v>AQ0019 CAP-MAG066-1186 Wet Magnetic Separators</v>
      </c>
      <c r="O49" s="10" t="s">
        <v>243</v>
      </c>
      <c r="P49" s="5"/>
    </row>
    <row r="50" spans="1:16" ht="19" customHeight="1">
      <c r="A50" s="5" t="str">
        <f>IF(E50&lt;&gt;"", "A"&amp;UPPER(LEFT(E50, 1)) &amp; TEXT(COUNTIF($E$3:E50, E50), "0000"), "")</f>
        <v>AC0012</v>
      </c>
      <c r="B50" s="5" t="s">
        <v>244</v>
      </c>
      <c r="C50" s="5" t="s">
        <v>245</v>
      </c>
      <c r="D50" s="5" t="s">
        <v>25</v>
      </c>
      <c r="E50" s="5" t="s">
        <v>26</v>
      </c>
      <c r="F50" s="5" t="s">
        <v>20</v>
      </c>
      <c r="G50" s="5"/>
      <c r="H50" s="5" t="s">
        <v>234</v>
      </c>
      <c r="I50" s="5"/>
      <c r="J50" s="5"/>
      <c r="K50" s="5"/>
      <c r="L50" s="5"/>
      <c r="M50" s="5"/>
      <c r="N50" s="7" t="str">
        <f t="shared" si="0"/>
        <v>AC0012 General Inquiry</v>
      </c>
      <c r="O50" s="10" t="s">
        <v>877</v>
      </c>
      <c r="P50" s="5"/>
    </row>
    <row r="51" spans="1:16" ht="19" customHeight="1">
      <c r="A51" s="5" t="str">
        <f>IF(E51&lt;&gt;"", "A"&amp;UPPER(LEFT(E51, 1)) &amp; TEXT(COUNTIF($E$3:E51, E51), "0000"), "")</f>
        <v>AT0015</v>
      </c>
      <c r="B51" s="5" t="s">
        <v>244</v>
      </c>
      <c r="C51" s="5" t="s">
        <v>245</v>
      </c>
      <c r="D51" s="5" t="s">
        <v>250</v>
      </c>
      <c r="E51" s="5" t="s">
        <v>19</v>
      </c>
      <c r="F51" s="5" t="s">
        <v>133</v>
      </c>
      <c r="G51" s="5"/>
      <c r="H51" s="5" t="s">
        <v>235</v>
      </c>
      <c r="I51" s="5"/>
      <c r="J51" s="5"/>
      <c r="K51" s="5"/>
      <c r="L51" s="5"/>
      <c r="M51" s="5"/>
      <c r="N51" s="7" t="str">
        <f t="shared" si="0"/>
        <v xml:space="preserve">AT0015 WHIMS Hematite Investigation </v>
      </c>
      <c r="O51" s="10" t="s">
        <v>251</v>
      </c>
      <c r="P51" s="5"/>
    </row>
    <row r="52" spans="1:16" ht="19" customHeight="1">
      <c r="A52" s="5" t="str">
        <f>IF(E52&lt;&gt;"", "A"&amp;UPPER(LEFT(E52, 1)) &amp; TEXT(COUNTIF($E$3:E52, E52), "0000"), "")</f>
        <v>AQ0020</v>
      </c>
      <c r="B52" s="5" t="s">
        <v>158</v>
      </c>
      <c r="C52" s="5" t="s">
        <v>161</v>
      </c>
      <c r="D52" s="5" t="s">
        <v>252</v>
      </c>
      <c r="E52" s="5" t="s">
        <v>41</v>
      </c>
      <c r="F52" s="5" t="s">
        <v>133</v>
      </c>
      <c r="G52" s="5"/>
      <c r="H52" s="5" t="s">
        <v>181</v>
      </c>
      <c r="I52" s="5"/>
      <c r="K52" s="5"/>
      <c r="L52" s="5"/>
      <c r="M52" s="5"/>
      <c r="N52" s="7" t="str">
        <f t="shared" si="0"/>
        <v xml:space="preserve">AQ0020 Replacing Magnetic Separators </v>
      </c>
      <c r="O52" s="10" t="s">
        <v>253</v>
      </c>
      <c r="P52" s="5"/>
    </row>
    <row r="53" spans="1:16" ht="19" customHeight="1">
      <c r="A53" s="5" t="s">
        <v>254</v>
      </c>
      <c r="B53" s="5" t="s">
        <v>63</v>
      </c>
      <c r="C53" s="5" t="s">
        <v>64</v>
      </c>
      <c r="D53" s="5" t="s">
        <v>255</v>
      </c>
      <c r="E53" s="5" t="s">
        <v>41</v>
      </c>
      <c r="F53" s="5" t="s">
        <v>20</v>
      </c>
      <c r="G53" s="5"/>
      <c r="H53" s="5" t="s">
        <v>181</v>
      </c>
      <c r="I53" s="5"/>
      <c r="J53" s="5" t="s">
        <v>256</v>
      </c>
      <c r="K53" s="5" t="s">
        <v>256</v>
      </c>
      <c r="L53" s="5"/>
      <c r="M53" s="5"/>
      <c r="N53" s="7" t="str">
        <f t="shared" si="0"/>
        <v>AQ0021 RMS Replacement</v>
      </c>
      <c r="O53" s="10" t="s">
        <v>257</v>
      </c>
      <c r="P53" s="5"/>
    </row>
    <row r="54" spans="1:16" ht="19" customHeight="1">
      <c r="A54" s="5" t="str">
        <f>IF(E54&lt;&gt;"", "A"&amp;UPPER(LEFT(E54, 1)) &amp; TEXT(COUNTIF($E$3:E54, E54), "0000"), "")</f>
        <v>AQ0022</v>
      </c>
      <c r="B54" s="5" t="s">
        <v>68</v>
      </c>
      <c r="C54" s="5" t="s">
        <v>155</v>
      </c>
      <c r="D54" s="5" t="s">
        <v>260</v>
      </c>
      <c r="E54" s="5" t="s">
        <v>41</v>
      </c>
      <c r="F54" s="5" t="s">
        <v>53</v>
      </c>
      <c r="G54" s="5" t="s">
        <v>258</v>
      </c>
      <c r="H54" s="5" t="s">
        <v>21</v>
      </c>
      <c r="I54" s="5"/>
      <c r="J54" s="5" t="s">
        <v>259</v>
      </c>
      <c r="K54" s="5"/>
      <c r="L54" s="5"/>
      <c r="M54" s="5"/>
      <c r="N54" s="7" t="str">
        <f t="shared" si="0"/>
        <v>AQ0022 LIMS and WHIMS(Minsol)</v>
      </c>
      <c r="O54" s="10" t="s">
        <v>261</v>
      </c>
      <c r="P54" s="5"/>
    </row>
    <row r="55" spans="1:16" ht="19" customHeight="1">
      <c r="A55" s="5" t="str">
        <f>IF(E55&lt;&gt;"", "A"&amp;UPPER(LEFT(E55, 1)) &amp; TEXT(COUNTIF($E$3:E55, E55), "0000"), "")</f>
        <v>AQ0023</v>
      </c>
      <c r="B55" s="5" t="s">
        <v>262</v>
      </c>
      <c r="C55" s="5" t="s">
        <v>263</v>
      </c>
      <c r="D55" s="5" t="s">
        <v>264</v>
      </c>
      <c r="E55" s="5" t="s">
        <v>41</v>
      </c>
      <c r="F55" s="5" t="s">
        <v>53</v>
      </c>
      <c r="G55" s="5" t="s">
        <v>258</v>
      </c>
      <c r="H55" s="5" t="s">
        <v>21</v>
      </c>
      <c r="I55" s="5"/>
      <c r="J55" s="5" t="s">
        <v>259</v>
      </c>
      <c r="K55" s="5"/>
      <c r="L55" s="5"/>
      <c r="M55" s="5"/>
      <c r="N55" s="7" t="str">
        <f t="shared" si="0"/>
        <v>AQ0023 BLP LIMS and WHIMS(Minsol)</v>
      </c>
      <c r="O55" s="10" t="s">
        <v>265</v>
      </c>
      <c r="P55" s="5"/>
    </row>
    <row r="56" spans="1:16" ht="19" customHeight="1">
      <c r="A56" s="5" t="str">
        <f>IF(E56&lt;&gt;"", "A"&amp;UPPER(LEFT(E56, 1)) &amp; TEXT(COUNTIF($E$3:E56, E56), "0000"), "")</f>
        <v>AS0003</v>
      </c>
      <c r="B56" s="5" t="s">
        <v>72</v>
      </c>
      <c r="C56" s="5" t="s">
        <v>73</v>
      </c>
      <c r="D56" s="5" t="s">
        <v>268</v>
      </c>
      <c r="E56" s="5" t="s">
        <v>156</v>
      </c>
      <c r="F56" s="5" t="s">
        <v>53</v>
      </c>
      <c r="G56" s="5"/>
      <c r="H56" s="5" t="s">
        <v>21</v>
      </c>
      <c r="I56" s="5"/>
      <c r="J56" s="5" t="s">
        <v>256</v>
      </c>
      <c r="K56" s="5"/>
      <c r="L56" s="5"/>
      <c r="M56" s="5"/>
      <c r="N56" s="7" t="str">
        <f t="shared" si="0"/>
        <v>AS0003 CGP1 Oil Cooling Coil upgrade</v>
      </c>
      <c r="O56" s="10" t="s">
        <v>269</v>
      </c>
      <c r="P56" s="5"/>
    </row>
    <row r="57" spans="1:16" ht="19" customHeight="1">
      <c r="A57" s="5" t="str">
        <f>IF(E57&lt;&gt;"", "A"&amp;UPPER(LEFT(E57, 1)) &amp; TEXT(COUNTIF($E$3:E57, E57), "0000"), "")</f>
        <v>AT0016</v>
      </c>
      <c r="B57" s="5" t="s">
        <v>16</v>
      </c>
      <c r="C57" s="5" t="s">
        <v>17</v>
      </c>
      <c r="D57" s="5" t="s">
        <v>271</v>
      </c>
      <c r="E57" s="5" t="s">
        <v>19</v>
      </c>
      <c r="F57" s="5" t="s">
        <v>20</v>
      </c>
      <c r="G57" s="5"/>
      <c r="H57" s="5" t="s">
        <v>235</v>
      </c>
      <c r="I57" s="5"/>
      <c r="J57" s="5"/>
      <c r="K57" s="5"/>
      <c r="L57" s="5"/>
      <c r="M57" s="5"/>
      <c r="N57" s="7" t="str">
        <f t="shared" si="0"/>
        <v>AT0016 VRM and MS Pilot Testwork</v>
      </c>
      <c r="O57" s="10" t="s">
        <v>272</v>
      </c>
      <c r="P57" s="5"/>
    </row>
    <row r="58" spans="1:16" ht="19" customHeight="1">
      <c r="A58" s="5" t="str">
        <f>IF(E58&lt;&gt;"", "A"&amp;UPPER(LEFT(E58, 1)) &amp; TEXT(COUNTIF($E$3:E58, E58), "0000"), "")</f>
        <v>AC0013</v>
      </c>
      <c r="B58" s="5" t="s">
        <v>158</v>
      </c>
      <c r="C58" s="5" t="s">
        <v>161</v>
      </c>
      <c r="D58" s="5" t="s">
        <v>25</v>
      </c>
      <c r="E58" s="5" t="s">
        <v>26</v>
      </c>
      <c r="F58" s="5" t="s">
        <v>236</v>
      </c>
      <c r="G58" s="5"/>
      <c r="H58" s="5"/>
      <c r="I58" s="5"/>
      <c r="J58" s="5"/>
      <c r="K58" s="5"/>
      <c r="L58" s="5"/>
      <c r="M58" s="5"/>
      <c r="N58" s="7" t="str">
        <f t="shared" si="0"/>
        <v>AC0013 General Inquiry</v>
      </c>
      <c r="O58" s="10" t="s">
        <v>270</v>
      </c>
      <c r="P58" s="5"/>
    </row>
    <row r="59" spans="1:16" ht="19" customHeight="1">
      <c r="A59" s="5" t="str">
        <f>IF(E59&lt;&gt;"", "A"&amp;UPPER(LEFT(E59, 1)) &amp; TEXT(COUNTIF($E$3:E59, E59), "0000"), "")</f>
        <v>AS0004</v>
      </c>
      <c r="B59" s="5" t="s">
        <v>68</v>
      </c>
      <c r="C59" s="5" t="s">
        <v>155</v>
      </c>
      <c r="D59" s="5" t="s">
        <v>273</v>
      </c>
      <c r="E59" s="5" t="s">
        <v>156</v>
      </c>
      <c r="F59" s="5" t="s">
        <v>53</v>
      </c>
      <c r="G59" s="5" t="s">
        <v>274</v>
      </c>
      <c r="H59" s="5" t="s">
        <v>21</v>
      </c>
      <c r="I59" s="5"/>
      <c r="J59" s="5"/>
      <c r="K59" s="5"/>
      <c r="L59" s="5"/>
      <c r="M59" s="5"/>
      <c r="N59" s="7" t="str">
        <f t="shared" si="0"/>
        <v>AS0004 LIMS Service</v>
      </c>
      <c r="O59" s="10" t="s">
        <v>275</v>
      </c>
      <c r="P59" s="5"/>
    </row>
    <row r="60" spans="1:16" ht="19" customHeight="1">
      <c r="A60" s="5" t="str">
        <f>IF(E60&lt;&gt;"", "A"&amp;UPPER(LEFT(E60, 1)) &amp; TEXT(COUNTIF($E$3:E60, E60), "0000"), "")</f>
        <v>AT0017</v>
      </c>
      <c r="B60" s="5" t="s">
        <v>276</v>
      </c>
      <c r="C60" s="5" t="s">
        <v>277</v>
      </c>
      <c r="D60" s="5" t="s">
        <v>279</v>
      </c>
      <c r="E60" s="5" t="s">
        <v>19</v>
      </c>
      <c r="F60" s="5" t="s">
        <v>278</v>
      </c>
      <c r="G60" s="5"/>
      <c r="H60" s="5" t="s">
        <v>235</v>
      </c>
      <c r="I60" s="5"/>
      <c r="J60" s="5"/>
      <c r="K60" s="5"/>
      <c r="L60" s="5"/>
      <c r="M60" s="5"/>
      <c r="N60" s="7" t="str">
        <f t="shared" si="0"/>
        <v>AT0017 Tails WHIMS Testwork</v>
      </c>
      <c r="O60" s="10" t="s">
        <v>280</v>
      </c>
      <c r="P60" s="5"/>
    </row>
    <row r="61" spans="1:16" ht="19" customHeight="1">
      <c r="A61" s="5" t="str">
        <f>IF(E61&lt;&gt;"", "A"&amp;UPPER(LEFT(E61, 1)) &amp; TEXT(COUNTIF($E$3:E61, E61), "0000"), "")</f>
        <v>AS0005</v>
      </c>
      <c r="B61" s="5" t="s">
        <v>68</v>
      </c>
      <c r="C61" s="5" t="s">
        <v>69</v>
      </c>
      <c r="D61" s="5" t="s">
        <v>281</v>
      </c>
      <c r="E61" s="5" t="s">
        <v>156</v>
      </c>
      <c r="F61" s="5" t="s">
        <v>53</v>
      </c>
      <c r="G61" s="5"/>
      <c r="H61" s="5" t="s">
        <v>21</v>
      </c>
      <c r="I61" s="5"/>
      <c r="J61" s="5"/>
      <c r="K61" s="5"/>
      <c r="L61" s="5"/>
      <c r="M61" s="5"/>
      <c r="N61" s="7" t="str">
        <f t="shared" si="0"/>
        <v>AS0005 WHIMS Service</v>
      </c>
      <c r="O61" s="10" t="s">
        <v>282</v>
      </c>
      <c r="P61" s="5"/>
    </row>
    <row r="62" spans="1:16" ht="19" customHeight="1">
      <c r="A62" s="5" t="str">
        <f>IF(E62&lt;&gt;"", "A"&amp;UPPER(LEFT(E62, 1)) &amp; TEXT(COUNTIF($E$3:E62, E62), "0000"), "")</f>
        <v>AQ0024</v>
      </c>
      <c r="B62" s="5" t="s">
        <v>16</v>
      </c>
      <c r="C62" s="5" t="s">
        <v>87</v>
      </c>
      <c r="D62" s="5" t="s">
        <v>283</v>
      </c>
      <c r="E62" s="5" t="s">
        <v>41</v>
      </c>
      <c r="F62" s="5" t="s">
        <v>20</v>
      </c>
      <c r="G62" s="5"/>
      <c r="H62" s="5" t="s">
        <v>21</v>
      </c>
      <c r="I62" s="5"/>
      <c r="J62" s="6">
        <v>45334</v>
      </c>
      <c r="K62" s="5"/>
      <c r="L62" s="5"/>
      <c r="M62" s="5"/>
      <c r="N62" s="7" t="str">
        <f t="shared" si="0"/>
        <v>AQ0024 HI-RDLY-0109</v>
      </c>
      <c r="O62" s="10" t="s">
        <v>284</v>
      </c>
      <c r="P62" s="5"/>
    </row>
    <row r="63" spans="1:16" ht="19" customHeight="1">
      <c r="A63" s="5" t="str">
        <f>IF(E63&lt;&gt;"", "A"&amp;UPPER(LEFT(E63, 1)) &amp; TEXT(COUNTIF($E$3:E63, E63), "0000"), "")</f>
        <v>AT0018</v>
      </c>
      <c r="B63" s="5" t="s">
        <v>183</v>
      </c>
      <c r="C63" s="5" t="s">
        <v>286</v>
      </c>
      <c r="D63" s="5" t="s">
        <v>129</v>
      </c>
      <c r="E63" s="5" t="s">
        <v>19</v>
      </c>
      <c r="F63" s="5" t="s">
        <v>20</v>
      </c>
      <c r="G63" s="5"/>
      <c r="H63" s="5" t="s">
        <v>288</v>
      </c>
      <c r="I63" s="5"/>
      <c r="J63" s="5"/>
      <c r="K63" s="5"/>
      <c r="L63" s="5"/>
      <c r="M63" s="5"/>
      <c r="N63" s="7" t="str">
        <f t="shared" si="0"/>
        <v>AT0018 LJC Testwork</v>
      </c>
      <c r="O63" s="10" t="s">
        <v>287</v>
      </c>
      <c r="P63" s="5"/>
    </row>
    <row r="64" spans="1:16" ht="19" customHeight="1">
      <c r="A64" s="5" t="str">
        <f>IF(E64&lt;&gt;"", "A"&amp;UPPER(LEFT(E64, 1)) &amp; TEXT(COUNTIF($E$3:E64, E64), "0000"), "")</f>
        <v>AQ0025</v>
      </c>
      <c r="B64" s="5" t="s">
        <v>68</v>
      </c>
      <c r="C64" s="5" t="s">
        <v>155</v>
      </c>
      <c r="D64" s="5" t="s">
        <v>292</v>
      </c>
      <c r="E64" s="5" t="s">
        <v>41</v>
      </c>
      <c r="F64" s="5" t="s">
        <v>53</v>
      </c>
      <c r="G64" s="5"/>
      <c r="H64" s="5" t="s">
        <v>21</v>
      </c>
      <c r="I64" s="5"/>
      <c r="J64" s="5"/>
      <c r="K64" s="5"/>
      <c r="L64" s="5"/>
      <c r="M64" s="5"/>
      <c r="N64" s="7" t="str">
        <f t="shared" si="0"/>
        <v>AQ0025 Heat Exchanger Upgade</v>
      </c>
      <c r="O64" s="10" t="s">
        <v>293</v>
      </c>
      <c r="P64" s="5"/>
    </row>
    <row r="65" spans="1:16" ht="19" customHeight="1">
      <c r="A65" s="5" t="str">
        <f>IF(E65&lt;&gt;"", "A"&amp;UPPER(LEFT(E65, 1)) &amp; TEXT(COUNTIF($E$3:E65, E65), "0000"), "")</f>
        <v>AQ0026</v>
      </c>
      <c r="B65" s="5" t="s">
        <v>23</v>
      </c>
      <c r="C65" s="5" t="s">
        <v>24</v>
      </c>
      <c r="D65" s="5" t="s">
        <v>294</v>
      </c>
      <c r="E65" s="5" t="s">
        <v>41</v>
      </c>
      <c r="F65" s="5" t="s">
        <v>20</v>
      </c>
      <c r="G65" s="5" t="s">
        <v>83</v>
      </c>
      <c r="H65" s="5" t="s">
        <v>27</v>
      </c>
      <c r="I65" s="5"/>
      <c r="J65" s="5"/>
      <c r="K65" s="5"/>
      <c r="L65" s="5"/>
      <c r="M65" s="5"/>
      <c r="N65" s="7" t="str">
        <f t="shared" si="0"/>
        <v>AQ0026 Metal Detector</v>
      </c>
      <c r="O65" s="10" t="s">
        <v>311</v>
      </c>
      <c r="P65" s="5"/>
    </row>
    <row r="66" spans="1:16" ht="19" customHeight="1">
      <c r="A66" s="5" t="str">
        <f>IF(E66&lt;&gt;"", "A"&amp;UPPER(LEFT(E66, 1)) &amp; TEXT(COUNTIF($E$3:E66, E66), "0000"), "")</f>
        <v>AQ0027</v>
      </c>
      <c r="B66" s="5" t="s">
        <v>309</v>
      </c>
      <c r="C66" s="5" t="s">
        <v>295</v>
      </c>
      <c r="D66" s="5" t="s">
        <v>294</v>
      </c>
      <c r="E66" s="5" t="s">
        <v>41</v>
      </c>
      <c r="F66" s="5" t="s">
        <v>296</v>
      </c>
      <c r="G66" s="5" t="s">
        <v>83</v>
      </c>
      <c r="H66" s="5" t="s">
        <v>288</v>
      </c>
      <c r="I66" s="5"/>
      <c r="J66" s="6">
        <v>45364</v>
      </c>
      <c r="K66" s="5"/>
      <c r="L66" s="5"/>
      <c r="M66" s="5"/>
      <c r="N66" s="7" t="str">
        <f t="shared" si="0"/>
        <v>AQ0027 Metal Detector</v>
      </c>
      <c r="O66" s="10" t="s">
        <v>310</v>
      </c>
      <c r="P66" s="5"/>
    </row>
    <row r="67" spans="1:16" ht="19" customHeight="1">
      <c r="A67" s="5" t="str">
        <f>IF(E67&lt;&gt;"", "A"&amp;UPPER(LEFT(E67, 1)) &amp; TEXT(COUNTIF($E$3:E67, E67), "0000"), "")</f>
        <v>AS0006</v>
      </c>
      <c r="B67" s="5" t="s">
        <v>58</v>
      </c>
      <c r="C67" s="5" t="s">
        <v>297</v>
      </c>
      <c r="D67" s="5" t="s">
        <v>281</v>
      </c>
      <c r="E67" s="5" t="s">
        <v>156</v>
      </c>
      <c r="F67" s="5" t="s">
        <v>296</v>
      </c>
      <c r="G67" s="5"/>
      <c r="H67" s="5" t="s">
        <v>235</v>
      </c>
      <c r="I67" s="5"/>
      <c r="J67" s="5"/>
      <c r="K67" s="5"/>
      <c r="L67" s="5"/>
      <c r="M67" s="5"/>
      <c r="N67" s="7" t="str">
        <f t="shared" si="0"/>
        <v>AS0006 WHIMS Service</v>
      </c>
      <c r="O67" s="10" t="s">
        <v>304</v>
      </c>
      <c r="P67" s="5"/>
    </row>
    <row r="68" spans="1:16" ht="19" customHeight="1">
      <c r="A68" s="5" t="str">
        <f>IF(E68&lt;&gt;"", "A"&amp;UPPER(LEFT(E68, 1)) &amp; TEXT(COUNTIF($E$3:E68, E68), "0000"), "")</f>
        <v>AS0007</v>
      </c>
      <c r="B68" s="5" t="s">
        <v>300</v>
      </c>
      <c r="C68" s="5" t="s">
        <v>301</v>
      </c>
      <c r="D68" s="5" t="s">
        <v>305</v>
      </c>
      <c r="E68" s="5" t="s">
        <v>156</v>
      </c>
      <c r="F68" s="5" t="s">
        <v>296</v>
      </c>
      <c r="G68" s="5"/>
      <c r="H68" s="5" t="s">
        <v>235</v>
      </c>
      <c r="I68" s="5"/>
      <c r="J68" s="5"/>
      <c r="K68" s="5"/>
      <c r="L68" s="5"/>
      <c r="M68" s="5"/>
      <c r="N68" s="7" t="str">
        <f t="shared" ref="N68:N132" si="1">A68&amp;" "&amp;D68</f>
        <v>AS0007 LGS-500 Installation</v>
      </c>
      <c r="O68" s="10" t="s">
        <v>306</v>
      </c>
      <c r="P68" s="5"/>
    </row>
    <row r="69" spans="1:16" ht="19" customHeight="1">
      <c r="A69" s="5" t="str">
        <f>IF(E69&lt;&gt;"", "A"&amp;UPPER(LEFT(E69, 1)) &amp; TEXT(COUNTIF($E$3:E69, E69), "0000"), "")</f>
        <v>AS0008</v>
      </c>
      <c r="B69" s="5" t="s">
        <v>303</v>
      </c>
      <c r="C69" s="5" t="s">
        <v>303</v>
      </c>
      <c r="D69" s="5" t="s">
        <v>307</v>
      </c>
      <c r="E69" s="5" t="s">
        <v>156</v>
      </c>
      <c r="F69" s="5" t="s">
        <v>296</v>
      </c>
      <c r="G69" s="5"/>
      <c r="H69" s="5" t="s">
        <v>21</v>
      </c>
      <c r="I69" s="5"/>
      <c r="J69" s="5"/>
      <c r="K69" s="5"/>
      <c r="L69" s="5"/>
      <c r="M69" s="5"/>
      <c r="N69" s="7" t="str">
        <f t="shared" si="1"/>
        <v>AS0008 LGS-100 Installation</v>
      </c>
      <c r="O69" s="10" t="s">
        <v>308</v>
      </c>
      <c r="P69" s="5"/>
    </row>
    <row r="70" spans="1:16" ht="19" customHeight="1">
      <c r="A70" s="5" t="str">
        <f>IF(E70&lt;&gt;"", "A"&amp;UPPER(LEFT(E70, 1)) &amp; TEXT(COUNTIF($E$3:E70, E70), "0000"), "")</f>
        <v>AT0019</v>
      </c>
      <c r="B70" s="5" t="s">
        <v>183</v>
      </c>
      <c r="C70" s="5" t="s">
        <v>184</v>
      </c>
      <c r="D70" s="5" t="s">
        <v>312</v>
      </c>
      <c r="E70" s="5" t="s">
        <v>19</v>
      </c>
      <c r="F70" s="5" t="s">
        <v>20</v>
      </c>
      <c r="G70" s="5"/>
      <c r="H70" s="5" t="s">
        <v>235</v>
      </c>
      <c r="I70" s="5"/>
      <c r="J70" s="5"/>
      <c r="K70" s="5"/>
      <c r="L70" s="5"/>
      <c r="M70" s="5"/>
      <c r="N70" s="7" t="str">
        <f t="shared" si="1"/>
        <v>AT0019 MS Testworks(HQ)</v>
      </c>
      <c r="O70" s="10" t="s">
        <v>313</v>
      </c>
      <c r="P70" s="5"/>
    </row>
    <row r="71" spans="1:16" ht="19" customHeight="1">
      <c r="A71" s="5" t="str">
        <f>IF(E71&lt;&gt;"", "A"&amp;UPPER(LEFT(E71, 1)) &amp; TEXT(COUNTIF($E$3:E71, E71), "0000"), "")</f>
        <v>AT0020</v>
      </c>
      <c r="B71" s="5" t="s">
        <v>63</v>
      </c>
      <c r="C71" s="5" t="s">
        <v>136</v>
      </c>
      <c r="D71" s="5" t="s">
        <v>314</v>
      </c>
      <c r="E71" s="5" t="s">
        <v>19</v>
      </c>
      <c r="F71" s="5" t="s">
        <v>133</v>
      </c>
      <c r="G71" s="5"/>
      <c r="H71" s="5" t="s">
        <v>234</v>
      </c>
      <c r="I71" s="5"/>
      <c r="J71" s="5"/>
      <c r="K71" s="5"/>
      <c r="L71" s="5"/>
      <c r="M71" s="5"/>
      <c r="N71" s="7" t="str">
        <f t="shared" si="1"/>
        <v xml:space="preserve">AT0020 WHIMS Investigation </v>
      </c>
      <c r="O71" s="10" t="s">
        <v>315</v>
      </c>
      <c r="P71" s="5"/>
    </row>
    <row r="72" spans="1:16" ht="19" customHeight="1">
      <c r="A72" s="5" t="str">
        <f>IF(E72&lt;&gt;"", "A"&amp;UPPER(LEFT(E72, 1)) &amp; TEXT(COUNTIF($E$3:E72, E72), "0000"), "")</f>
        <v>AT0021</v>
      </c>
      <c r="B72" s="5" t="s">
        <v>158</v>
      </c>
      <c r="C72" s="5" t="s">
        <v>316</v>
      </c>
      <c r="D72" s="5" t="s">
        <v>317</v>
      </c>
      <c r="E72" s="5" t="s">
        <v>19</v>
      </c>
      <c r="F72" s="5" t="s">
        <v>133</v>
      </c>
      <c r="G72" s="5"/>
      <c r="H72" s="5" t="s">
        <v>234</v>
      </c>
      <c r="I72" s="5"/>
      <c r="J72" s="5"/>
      <c r="K72" s="5"/>
      <c r="L72" s="5"/>
      <c r="M72" s="5"/>
      <c r="N72" s="7" t="str">
        <f t="shared" si="1"/>
        <v>AT0021 Greensteel WHIMS</v>
      </c>
      <c r="O72" s="10" t="s">
        <v>318</v>
      </c>
      <c r="P72" s="5"/>
    </row>
    <row r="73" spans="1:16" ht="19" customHeight="1">
      <c r="A73" s="5" t="str">
        <f>IF(E73&lt;&gt;"", "A"&amp;UPPER(LEFT(E73, 1)) &amp; TEXT(COUNTIF($E$3:E73, E73), "0000"), "")</f>
        <v>AT0022</v>
      </c>
      <c r="B73" s="5" t="s">
        <v>23</v>
      </c>
      <c r="C73" s="5" t="s">
        <v>24</v>
      </c>
      <c r="D73" s="5" t="s">
        <v>319</v>
      </c>
      <c r="E73" s="5" t="s">
        <v>19</v>
      </c>
      <c r="F73" s="5" t="s">
        <v>20</v>
      </c>
      <c r="G73" s="5"/>
      <c r="H73" s="5" t="s">
        <v>27</v>
      </c>
      <c r="I73" s="5"/>
      <c r="J73" s="5"/>
      <c r="K73" s="5"/>
      <c r="L73" s="5"/>
      <c r="M73" s="5"/>
      <c r="N73" s="7" t="str">
        <f t="shared" si="1"/>
        <v>AT0022 LJC Pilot Test</v>
      </c>
      <c r="O73" s="10" t="s">
        <v>320</v>
      </c>
      <c r="P73" s="5"/>
    </row>
    <row r="74" spans="1:16" ht="19" customHeight="1">
      <c r="A74" s="5" t="str">
        <f>IF(E74&lt;&gt;"", "A"&amp;UPPER(LEFT(E74, 1)) &amp; TEXT(COUNTIF($E$3:E74, E74), "0000"), "")</f>
        <v>AQ0028</v>
      </c>
      <c r="B74" s="5" t="s">
        <v>322</v>
      </c>
      <c r="C74" s="5" t="s">
        <v>321</v>
      </c>
      <c r="D74" s="5" t="s">
        <v>324</v>
      </c>
      <c r="E74" s="5" t="s">
        <v>41</v>
      </c>
      <c r="F74" s="5" t="s">
        <v>323</v>
      </c>
      <c r="G74" s="5"/>
      <c r="H74" s="5" t="s">
        <v>27</v>
      </c>
      <c r="I74" s="5"/>
      <c r="J74" s="6">
        <v>45361</v>
      </c>
      <c r="K74" s="5"/>
      <c r="L74" s="5"/>
      <c r="M74" s="5"/>
      <c r="N74" s="7" t="str">
        <f t="shared" si="1"/>
        <v>AQ0028 HMDS Drum Replacment</v>
      </c>
      <c r="O74" s="10" t="s">
        <v>325</v>
      </c>
      <c r="P74" s="5"/>
    </row>
    <row r="75" spans="1:16" ht="19" customHeight="1">
      <c r="A75" s="5" t="str">
        <f>IF(E75&lt;&gt;"", "A"&amp;UPPER(LEFT(E75, 1)) &amp; TEXT(COUNTIF($E$3:E75, E75), "0000"), "")</f>
        <v>AT0023</v>
      </c>
      <c r="B75" s="5" t="s">
        <v>178</v>
      </c>
      <c r="C75" s="5" t="s">
        <v>179</v>
      </c>
      <c r="D75" s="5" t="s">
        <v>330</v>
      </c>
      <c r="E75" s="5" t="s">
        <v>19</v>
      </c>
      <c r="F75" s="5" t="s">
        <v>20</v>
      </c>
      <c r="G75" s="5"/>
      <c r="H75" s="5" t="s">
        <v>235</v>
      </c>
      <c r="I75" s="5"/>
      <c r="J75" s="5"/>
      <c r="K75" s="5"/>
      <c r="L75" s="5"/>
      <c r="M75" s="5"/>
      <c r="N75" s="7" t="str">
        <f t="shared" si="1"/>
        <v xml:space="preserve">AT0023 MS Investigation </v>
      </c>
      <c r="O75" s="10" t="s">
        <v>331</v>
      </c>
      <c r="P75" s="5"/>
    </row>
    <row r="76" spans="1:16" ht="19" customHeight="1">
      <c r="A76" s="5" t="str">
        <f>IF(E76&lt;&gt;"", "A"&amp;UPPER(LEFT(E76, 1)) &amp; TEXT(COUNTIF($E$3:E76, E76), "0000"), "")</f>
        <v>AT0024</v>
      </c>
      <c r="B76" s="5" t="s">
        <v>23</v>
      </c>
      <c r="C76" s="5" t="s">
        <v>24</v>
      </c>
      <c r="D76" s="5" t="s">
        <v>332</v>
      </c>
      <c r="E76" s="5" t="s">
        <v>19</v>
      </c>
      <c r="F76" s="5" t="s">
        <v>20</v>
      </c>
      <c r="G76" s="5"/>
      <c r="H76" s="5" t="s">
        <v>234</v>
      </c>
      <c r="I76" s="5"/>
      <c r="J76" s="5"/>
      <c r="K76" s="5"/>
      <c r="L76" s="5"/>
      <c r="M76" s="5"/>
      <c r="N76" s="7" t="str">
        <f t="shared" si="1"/>
        <v>AT0024 LCGF Testwork</v>
      </c>
      <c r="O76" s="10" t="s">
        <v>333</v>
      </c>
      <c r="P76" s="5"/>
    </row>
    <row r="77" spans="1:16" ht="19" customHeight="1">
      <c r="A77" s="5" t="str">
        <f>IF(E77&lt;&gt;"", "A"&amp;UPPER(LEFT(E77, 1)) &amp; TEXT(COUNTIF($E$3:E77, E77), "0000"), "")</f>
        <v>AC0014</v>
      </c>
      <c r="B77" s="5" t="s">
        <v>334</v>
      </c>
      <c r="C77" s="5" t="s">
        <v>335</v>
      </c>
      <c r="D77" s="5" t="s">
        <v>25</v>
      </c>
      <c r="E77" s="5" t="s">
        <v>26</v>
      </c>
      <c r="F77" s="5" t="s">
        <v>278</v>
      </c>
      <c r="G77" s="5"/>
      <c r="H77" s="5" t="s">
        <v>235</v>
      </c>
      <c r="I77" s="5"/>
      <c r="J77" s="5"/>
      <c r="K77" s="5"/>
      <c r="L77" s="5"/>
      <c r="M77" s="5"/>
      <c r="N77" s="7" t="str">
        <f t="shared" si="1"/>
        <v>AC0014 General Inquiry</v>
      </c>
      <c r="O77" s="10" t="s">
        <v>336</v>
      </c>
      <c r="P77" s="5"/>
    </row>
    <row r="78" spans="1:16" ht="19" customHeight="1">
      <c r="A78" s="5" t="str">
        <f>IF(E78&lt;&gt;"", "A"&amp;UPPER(LEFT(E78, 1)) &amp; TEXT(COUNTIF($E$3:E78, E78), "0000"), "")</f>
        <v>AQ0029</v>
      </c>
      <c r="B78" s="5" t="s">
        <v>68</v>
      </c>
      <c r="C78" s="5" t="s">
        <v>155</v>
      </c>
      <c r="D78" s="30" t="s">
        <v>337</v>
      </c>
      <c r="E78" s="5" t="s">
        <v>41</v>
      </c>
      <c r="F78" s="5" t="s">
        <v>53</v>
      </c>
      <c r="G78" s="5"/>
      <c r="H78" s="5" t="s">
        <v>21</v>
      </c>
      <c r="I78" s="5"/>
      <c r="J78" s="6">
        <v>45365</v>
      </c>
      <c r="K78" s="6">
        <v>45373</v>
      </c>
      <c r="L78" s="5" t="s">
        <v>338</v>
      </c>
      <c r="M78" s="5"/>
      <c r="N78" s="7" t="str">
        <f t="shared" si="1"/>
        <v>AQ0029 WHIMS SPARES</v>
      </c>
      <c r="O78" s="10" t="s">
        <v>343</v>
      </c>
      <c r="P78" s="5"/>
    </row>
    <row r="79" spans="1:16" ht="19" customHeight="1">
      <c r="A79" s="5" t="str">
        <f>IF(E79&lt;&gt;"", "A"&amp;UPPER(LEFT(E79, 1)) &amp; TEXT(COUNTIF($E$3:E79, E79), "0000"), "")</f>
        <v>AQ0030</v>
      </c>
      <c r="B79" s="5" t="s">
        <v>63</v>
      </c>
      <c r="C79" s="5" t="s">
        <v>141</v>
      </c>
      <c r="D79" s="30" t="s">
        <v>339</v>
      </c>
      <c r="E79" s="5" t="s">
        <v>41</v>
      </c>
      <c r="F79" s="5" t="s">
        <v>133</v>
      </c>
      <c r="G79" s="25" t="s">
        <v>340</v>
      </c>
      <c r="H79" s="5" t="s">
        <v>21</v>
      </c>
      <c r="I79" s="5"/>
      <c r="J79" s="6">
        <v>45365</v>
      </c>
      <c r="K79" s="6">
        <v>45373</v>
      </c>
      <c r="M79" s="25" t="s">
        <v>341</v>
      </c>
      <c r="N79" s="7" t="str">
        <f t="shared" si="1"/>
        <v>AQ0030 DMS LIMS</v>
      </c>
      <c r="O79" s="10" t="s">
        <v>344</v>
      </c>
      <c r="P79" s="5"/>
    </row>
    <row r="80" spans="1:16" ht="19" customHeight="1">
      <c r="A80" s="5" t="str">
        <f>IF(E80&lt;&gt;"", "A"&amp;UPPER(LEFT(E80, 1)) &amp; TEXT(COUNTIF($E$3:E80, E80), "0000"), "")</f>
        <v>AQ0031</v>
      </c>
      <c r="B80" s="5" t="s">
        <v>68</v>
      </c>
      <c r="C80" s="5" t="s">
        <v>155</v>
      </c>
      <c r="D80" s="30" t="s">
        <v>337</v>
      </c>
      <c r="E80" s="5" t="s">
        <v>41</v>
      </c>
      <c r="F80" s="5" t="s">
        <v>53</v>
      </c>
      <c r="G80" s="5"/>
      <c r="H80" s="5" t="s">
        <v>21</v>
      </c>
      <c r="I80" s="5"/>
      <c r="J80" s="6">
        <v>45345</v>
      </c>
      <c r="K80" s="6">
        <v>45350</v>
      </c>
      <c r="L80" s="25" t="s">
        <v>342</v>
      </c>
      <c r="M80" s="5"/>
      <c r="N80" s="7" t="str">
        <f t="shared" si="1"/>
        <v>AQ0031 WHIMS SPARES</v>
      </c>
      <c r="O80" s="10" t="s">
        <v>345</v>
      </c>
      <c r="P80" s="5"/>
    </row>
    <row r="81" spans="1:16" ht="19" customHeight="1">
      <c r="A81" s="5" t="str">
        <f>IF(E81&lt;&gt;"", "A"&amp;UPPER(LEFT(E81, 1)) &amp; TEXT(COUNTIF($E$3:E81, E81), "0000"), "")</f>
        <v>AQ0032</v>
      </c>
      <c r="B81" s="5" t="s">
        <v>23</v>
      </c>
      <c r="C81" s="5" t="s">
        <v>36</v>
      </c>
      <c r="D81" s="5" t="s">
        <v>346</v>
      </c>
      <c r="E81" s="5" t="s">
        <v>41</v>
      </c>
      <c r="F81" s="5" t="s">
        <v>20</v>
      </c>
      <c r="G81" s="5" t="s">
        <v>48</v>
      </c>
      <c r="H81" s="5" t="s">
        <v>27</v>
      </c>
      <c r="I81" s="5"/>
      <c r="J81" s="6">
        <v>45377</v>
      </c>
      <c r="K81" s="5"/>
      <c r="L81" s="5"/>
      <c r="M81" s="5"/>
      <c r="N81" s="7" t="str">
        <f t="shared" si="1"/>
        <v>AQ0032 LJC Budget</v>
      </c>
      <c r="O81" s="10" t="s">
        <v>347</v>
      </c>
      <c r="P81" s="5"/>
    </row>
    <row r="82" spans="1:16" ht="19" customHeight="1">
      <c r="A82" s="5" t="str">
        <f>IF(E82&lt;&gt;"", "A"&amp;UPPER(LEFT(E82, 1)) &amp; TEXT(COUNTIF($E$3:E82, E82), "0000"), "")</f>
        <v>AP0002</v>
      </c>
      <c r="B82" s="5" t="s">
        <v>68</v>
      </c>
      <c r="C82" s="5" t="s">
        <v>155</v>
      </c>
      <c r="D82" s="5" t="s">
        <v>137</v>
      </c>
      <c r="E82" s="5" t="s">
        <v>138</v>
      </c>
      <c r="F82" s="5" t="s">
        <v>53</v>
      </c>
      <c r="G82" s="5"/>
      <c r="H82" s="5" t="s">
        <v>21</v>
      </c>
      <c r="I82" s="5"/>
      <c r="J82" s="5"/>
      <c r="K82" s="5"/>
      <c r="L82" s="5"/>
      <c r="M82" s="5"/>
      <c r="N82" s="7" t="str">
        <f t="shared" si="1"/>
        <v>AP0002 Spare Parts</v>
      </c>
      <c r="O82" s="10" t="s">
        <v>348</v>
      </c>
      <c r="P82" s="5"/>
    </row>
    <row r="83" spans="1:16" ht="19" customHeight="1">
      <c r="A83" s="5" t="str">
        <f>IF(E83&lt;&gt;"", "A"&amp;UPPER(LEFT(E83, 1)) &amp; TEXT(COUNTIF($E$3:E83, E83), "0000"), "")</f>
        <v>AQ0033</v>
      </c>
      <c r="B83" s="5" t="s">
        <v>68</v>
      </c>
      <c r="C83" s="5" t="s">
        <v>69</v>
      </c>
      <c r="D83" s="30" t="s">
        <v>337</v>
      </c>
      <c r="E83" s="5" t="s">
        <v>41</v>
      </c>
      <c r="F83" s="5" t="s">
        <v>53</v>
      </c>
      <c r="G83" s="5"/>
      <c r="H83" s="5" t="s">
        <v>21</v>
      </c>
      <c r="I83" s="5"/>
      <c r="J83" s="6">
        <v>45377</v>
      </c>
      <c r="K83" s="6">
        <v>45377</v>
      </c>
      <c r="L83" s="5"/>
      <c r="M83" s="5"/>
      <c r="N83" s="7" t="str">
        <f t="shared" si="1"/>
        <v>AQ0033 WHIMS SPARES</v>
      </c>
      <c r="O83" s="10" t="s">
        <v>351</v>
      </c>
      <c r="P83" s="5"/>
    </row>
    <row r="84" spans="1:16" ht="19" customHeight="1">
      <c r="A84" s="5" t="str">
        <f>IF(E84&lt;&gt;"", "A"&amp;UPPER(LEFT(E84, 1)) &amp; TEXT(COUNTIF($E$3:E84, E84), "0000"), "")</f>
        <v>AT0025</v>
      </c>
      <c r="B84" s="5" t="s">
        <v>349</v>
      </c>
      <c r="C84" s="5" t="s">
        <v>227</v>
      </c>
      <c r="D84" s="5" t="s">
        <v>350</v>
      </c>
      <c r="E84" s="5" t="s">
        <v>19</v>
      </c>
      <c r="F84" s="5" t="s">
        <v>47</v>
      </c>
      <c r="G84" s="5"/>
      <c r="H84" s="5" t="s">
        <v>27</v>
      </c>
      <c r="I84" s="5"/>
      <c r="J84" s="5"/>
      <c r="K84" s="5"/>
      <c r="L84" s="5"/>
      <c r="M84" s="5"/>
      <c r="N84" s="7" t="str">
        <f t="shared" si="1"/>
        <v>AT0025 WHIMS Pilot</v>
      </c>
      <c r="O84" s="10" t="s">
        <v>352</v>
      </c>
      <c r="P84" s="5"/>
    </row>
    <row r="85" spans="1:16" ht="19" customHeight="1">
      <c r="A85" s="5" t="str">
        <f>IF(E85&lt;&gt;"", "A"&amp;UPPER(LEFT(E85, 1)) &amp; TEXT(COUNTIF($E$3:E85, E85), "0000"), "")</f>
        <v>AT0026</v>
      </c>
      <c r="B85" s="5" t="s">
        <v>353</v>
      </c>
      <c r="C85" s="5" t="s">
        <v>353</v>
      </c>
      <c r="D85" s="5" t="s">
        <v>354</v>
      </c>
      <c r="E85" s="5" t="s">
        <v>19</v>
      </c>
      <c r="F85" s="5" t="s">
        <v>355</v>
      </c>
      <c r="G85" s="5" t="s">
        <v>274</v>
      </c>
      <c r="H85" s="5" t="s">
        <v>21</v>
      </c>
      <c r="I85" s="5"/>
      <c r="J85" s="5"/>
      <c r="K85" s="5"/>
      <c r="L85" s="5"/>
      <c r="M85" s="5"/>
      <c r="N85" s="7" t="str">
        <f t="shared" si="1"/>
        <v>AT0026 Minral sand MS testwork</v>
      </c>
      <c r="O85" s="10" t="s">
        <v>356</v>
      </c>
      <c r="P85" s="5"/>
    </row>
    <row r="86" spans="1:16" ht="19" customHeight="1">
      <c r="A86" s="5" t="str">
        <f>IF(E86&lt;&gt;"", "A"&amp;UPPER(LEFT(E86, 1)) &amp; TEXT(COUNTIF($E$3:E86, E86), "0000"), "")</f>
        <v>AQ0034</v>
      </c>
      <c r="B86" s="5" t="s">
        <v>158</v>
      </c>
      <c r="C86" s="5" t="s">
        <v>364</v>
      </c>
      <c r="D86" s="30" t="s">
        <v>363</v>
      </c>
      <c r="E86" s="5" t="s">
        <v>41</v>
      </c>
      <c r="F86" s="5" t="s">
        <v>323</v>
      </c>
      <c r="G86" s="24" t="s">
        <v>274</v>
      </c>
      <c r="H86" s="5" t="s">
        <v>21</v>
      </c>
      <c r="I86" s="5"/>
      <c r="J86" s="6">
        <v>45377</v>
      </c>
      <c r="K86" s="6">
        <v>45379</v>
      </c>
      <c r="L86" s="5"/>
      <c r="M86" s="5"/>
      <c r="N86" s="7" t="str">
        <f t="shared" si="1"/>
        <v>AQ0034 CHPP</v>
      </c>
      <c r="O86" s="10" t="s">
        <v>362</v>
      </c>
      <c r="P86" s="5"/>
    </row>
    <row r="87" spans="1:16" ht="19" customHeight="1">
      <c r="A87" s="5" t="str">
        <f>IF(E87&lt;&gt;"", "A"&amp;UPPER(LEFT(E87, 1)) &amp; TEXT(COUNTIF($E$3:E87, E87), "0000"), "")</f>
        <v>AT0027</v>
      </c>
      <c r="B87" s="5" t="s">
        <v>353</v>
      </c>
      <c r="C87" s="5" t="s">
        <v>353</v>
      </c>
      <c r="D87" s="5" t="s">
        <v>357</v>
      </c>
      <c r="E87" s="5" t="s">
        <v>19</v>
      </c>
      <c r="F87" s="5" t="s">
        <v>358</v>
      </c>
      <c r="G87" s="5" t="s">
        <v>274</v>
      </c>
      <c r="H87" s="5" t="s">
        <v>21</v>
      </c>
      <c r="I87" s="26" t="s">
        <v>359</v>
      </c>
      <c r="J87" s="6">
        <v>45379</v>
      </c>
      <c r="K87" s="6">
        <v>45379</v>
      </c>
      <c r="L87" s="5"/>
      <c r="M87" s="5"/>
      <c r="N87" s="7" t="str">
        <f t="shared" si="1"/>
        <v>AT0027 TRENEL</v>
      </c>
      <c r="O87" s="10" t="s">
        <v>372</v>
      </c>
      <c r="P87" s="5"/>
    </row>
    <row r="88" spans="1:16" ht="19" customHeight="1">
      <c r="A88" s="5" t="str">
        <f>IF(E88&lt;&gt;"", "A"&amp;UPPER(LEFT(E88, 1)) &amp; TEXT(COUNTIF($E$3:E88, E88), "0000"), "")</f>
        <v>AQ0035</v>
      </c>
      <c r="B88" s="5" t="s">
        <v>365</v>
      </c>
      <c r="C88" s="5" t="s">
        <v>366</v>
      </c>
      <c r="D88" s="30" t="s">
        <v>360</v>
      </c>
      <c r="E88" s="5" t="s">
        <v>41</v>
      </c>
      <c r="F88" s="27" t="s">
        <v>361</v>
      </c>
      <c r="G88" s="5"/>
      <c r="H88" s="5" t="s">
        <v>21</v>
      </c>
      <c r="I88" s="5"/>
      <c r="J88" s="6">
        <v>45366</v>
      </c>
      <c r="K88" s="6">
        <v>45379</v>
      </c>
      <c r="L88" s="5"/>
      <c r="M88" s="5"/>
      <c r="N88" s="7" t="str">
        <f t="shared" si="1"/>
        <v>AQ0035 P1000</v>
      </c>
      <c r="O88" s="10" t="s">
        <v>373</v>
      </c>
      <c r="P88" s="5"/>
    </row>
    <row r="89" spans="1:16" ht="19" customHeight="1">
      <c r="A89" s="5" t="str">
        <f>IF(E89&lt;&gt;"", "A"&amp;UPPER(LEFT(E89, 1)) &amp; TEXT(COUNTIF($E$3:E89, E89), "0000"), "")</f>
        <v>AC0015</v>
      </c>
      <c r="B89" s="5" t="s">
        <v>369</v>
      </c>
      <c r="C89" s="5" t="s">
        <v>369</v>
      </c>
      <c r="D89" s="5" t="s">
        <v>25</v>
      </c>
      <c r="E89" s="5" t="s">
        <v>26</v>
      </c>
      <c r="F89" s="5" t="s">
        <v>296</v>
      </c>
      <c r="G89" s="5"/>
      <c r="H89" s="5" t="s">
        <v>234</v>
      </c>
      <c r="I89" s="5"/>
      <c r="J89" s="5"/>
      <c r="K89" s="5"/>
      <c r="L89" s="5"/>
      <c r="M89" s="5"/>
      <c r="N89" s="7" t="str">
        <f t="shared" si="1"/>
        <v>AC0015 General Inquiry</v>
      </c>
      <c r="O89" s="10" t="s">
        <v>374</v>
      </c>
      <c r="P89" s="5"/>
    </row>
    <row r="90" spans="1:16" ht="19" customHeight="1">
      <c r="A90" s="5" t="str">
        <f>IF(E90&lt;&gt;"", "A"&amp;UPPER(LEFT(E90, 1)) &amp; TEXT(COUNTIF($E$3:E90, E90), "0000"), "")</f>
        <v>AC0016</v>
      </c>
      <c r="B90" s="5" t="s">
        <v>370</v>
      </c>
      <c r="C90" s="5" t="s">
        <v>371</v>
      </c>
      <c r="D90" s="5" t="s">
        <v>25</v>
      </c>
      <c r="E90" s="5" t="s">
        <v>26</v>
      </c>
      <c r="F90" s="5" t="s">
        <v>296</v>
      </c>
      <c r="G90" s="5"/>
      <c r="H90" s="5" t="s">
        <v>234</v>
      </c>
      <c r="I90" s="5"/>
      <c r="J90" s="5"/>
      <c r="K90" s="5"/>
      <c r="L90" s="5"/>
      <c r="M90" s="5"/>
      <c r="N90" s="7" t="str">
        <f t="shared" si="1"/>
        <v>AC0016 General Inquiry</v>
      </c>
      <c r="O90" s="10" t="s">
        <v>375</v>
      </c>
      <c r="P90" s="5"/>
    </row>
    <row r="91" spans="1:16" ht="19" customHeight="1">
      <c r="A91" s="5" t="str">
        <f>IF(E91&lt;&gt;"", "A"&amp;UPPER(LEFT(E91, 1)) &amp; TEXT(COUNTIF($E$3:E91, E91), "0000"), "")</f>
        <v>AQ0036</v>
      </c>
      <c r="B91" s="5" t="s">
        <v>376</v>
      </c>
      <c r="C91" s="5" t="s">
        <v>377</v>
      </c>
      <c r="D91" s="5" t="s">
        <v>379</v>
      </c>
      <c r="E91" s="5" t="s">
        <v>41</v>
      </c>
      <c r="F91" s="5" t="s">
        <v>296</v>
      </c>
      <c r="G91" s="5"/>
      <c r="H91" s="5" t="s">
        <v>21</v>
      </c>
      <c r="I91" s="5"/>
      <c r="J91" s="5"/>
      <c r="K91" s="5"/>
      <c r="L91" s="5"/>
      <c r="M91" s="5"/>
      <c r="N91" s="7" t="str">
        <f t="shared" si="1"/>
        <v xml:space="preserve">AQ0036 Belt iron remover </v>
      </c>
      <c r="O91" s="10" t="s">
        <v>380</v>
      </c>
      <c r="P91" s="5"/>
    </row>
    <row r="92" spans="1:16" ht="19" customHeight="1">
      <c r="A92" s="5" t="str">
        <f>IF(E92&lt;&gt;"", "A"&amp;UPPER(LEFT(E92, 1)) &amp; TEXT(COUNTIF($E$3:E92, E92), "0000"), "")</f>
        <v>AT0028</v>
      </c>
      <c r="B92" s="5" t="s">
        <v>16</v>
      </c>
      <c r="C92" s="5" t="s">
        <v>17</v>
      </c>
      <c r="D92" s="5" t="s">
        <v>391</v>
      </c>
      <c r="E92" s="5" t="s">
        <v>19</v>
      </c>
      <c r="F92" s="5" t="s">
        <v>20</v>
      </c>
      <c r="G92" s="5"/>
      <c r="H92" s="5" t="s">
        <v>235</v>
      </c>
      <c r="I92" s="5"/>
      <c r="J92" s="5"/>
      <c r="K92" s="5"/>
      <c r="L92" s="5"/>
      <c r="M92" s="5"/>
      <c r="N92" s="7" t="str">
        <f t="shared" si="1"/>
        <v>AT0028 LCGF Pilot Testwork</v>
      </c>
      <c r="O92" s="10" t="s">
        <v>392</v>
      </c>
      <c r="P92" s="5"/>
    </row>
    <row r="93" spans="1:16" ht="19" customHeight="1">
      <c r="A93" s="5" t="str">
        <f>IF(E93&lt;&gt;"", "A"&amp;UPPER(LEFT(E93, 1)) &amp; TEXT(COUNTIF($E$3:E93, E93), "0000"), "")</f>
        <v>AT0029</v>
      </c>
      <c r="B93" s="5" t="s">
        <v>68</v>
      </c>
      <c r="C93" s="5" t="s">
        <v>155</v>
      </c>
      <c r="D93" s="5" t="s">
        <v>393</v>
      </c>
      <c r="E93" s="5" t="s">
        <v>19</v>
      </c>
      <c r="F93" s="5" t="s">
        <v>53</v>
      </c>
      <c r="G93" s="5"/>
      <c r="H93" s="5" t="s">
        <v>21</v>
      </c>
      <c r="I93" s="5"/>
      <c r="J93" s="5"/>
      <c r="K93" s="5"/>
      <c r="L93" s="5"/>
      <c r="M93" s="5"/>
      <c r="N93" s="7" t="str">
        <f t="shared" si="1"/>
        <v>AT0029 Belt Magnet Drum Testwork</v>
      </c>
      <c r="O93" s="10" t="s">
        <v>394</v>
      </c>
      <c r="P93" s="5"/>
    </row>
    <row r="94" spans="1:16" ht="19" customHeight="1">
      <c r="A94" s="5" t="str">
        <f>IF(E94&lt;&gt;"", "A"&amp;UPPER(LEFT(E94, 1)) &amp; TEXT(COUNTIF($E$3:E94, E94), "0000"), "")</f>
        <v>AC0017</v>
      </c>
      <c r="B94" s="5" t="s">
        <v>303</v>
      </c>
      <c r="C94" s="5" t="s">
        <v>303</v>
      </c>
      <c r="D94" s="5" t="s">
        <v>25</v>
      </c>
      <c r="E94" s="5" t="s">
        <v>26</v>
      </c>
      <c r="F94" s="5" t="s">
        <v>296</v>
      </c>
      <c r="G94" s="5"/>
      <c r="H94" s="5" t="s">
        <v>235</v>
      </c>
      <c r="I94" s="5"/>
      <c r="J94" s="5"/>
      <c r="K94" s="5"/>
      <c r="L94" s="5"/>
      <c r="M94" s="5"/>
      <c r="N94" s="7" t="str">
        <f t="shared" si="1"/>
        <v>AC0017 General Inquiry</v>
      </c>
      <c r="O94" s="10" t="s">
        <v>395</v>
      </c>
      <c r="P94" s="5"/>
    </row>
    <row r="95" spans="1:16" ht="19" customHeight="1">
      <c r="A95" s="5" t="str">
        <f>IF(E95&lt;&gt;"", "A"&amp;UPPER(LEFT(E95, 1)) &amp; TEXT(COUNTIF($E$3:E95, E95), "0000"), "")</f>
        <v>AQ0037</v>
      </c>
      <c r="B95" s="5" t="s">
        <v>23</v>
      </c>
      <c r="C95" s="5" t="s">
        <v>24</v>
      </c>
      <c r="D95" s="5" t="s">
        <v>396</v>
      </c>
      <c r="E95" s="5" t="s">
        <v>41</v>
      </c>
      <c r="F95" s="5" t="s">
        <v>20</v>
      </c>
      <c r="G95" s="5" t="s">
        <v>78</v>
      </c>
      <c r="H95" s="5" t="s">
        <v>27</v>
      </c>
      <c r="I95" s="5"/>
      <c r="J95" s="5"/>
      <c r="K95" s="5"/>
      <c r="L95" s="5"/>
      <c r="M95" s="5"/>
      <c r="N95" s="7" t="str">
        <f t="shared" si="1"/>
        <v>AQ0037 DLIMS FS MT</v>
      </c>
      <c r="O95" s="10" t="s">
        <v>397</v>
      </c>
      <c r="P95" s="5"/>
    </row>
    <row r="96" spans="1:16" ht="19" customHeight="1">
      <c r="A96" s="5" t="str">
        <f>IF(E96&lt;&gt;"", "A"&amp;UPPER(LEFT(E96, 1)) &amp; TEXT(COUNTIF($E$3:E96, E96), "0000"), "")</f>
        <v>AQ0038</v>
      </c>
      <c r="B96" s="5" t="s">
        <v>349</v>
      </c>
      <c r="C96" s="5" t="s">
        <v>227</v>
      </c>
      <c r="D96" s="5" t="s">
        <v>398</v>
      </c>
      <c r="E96" s="5" t="s">
        <v>41</v>
      </c>
      <c r="F96" s="5" t="s">
        <v>47</v>
      </c>
      <c r="G96" s="5" t="s">
        <v>48</v>
      </c>
      <c r="H96" s="5" t="s">
        <v>27</v>
      </c>
      <c r="I96" s="5"/>
      <c r="J96" s="5"/>
      <c r="K96" s="5"/>
      <c r="L96" s="5"/>
      <c r="M96" s="5"/>
      <c r="N96" s="7" t="str">
        <f t="shared" si="1"/>
        <v>AQ0038 WHIMS PFS</v>
      </c>
      <c r="O96" s="10" t="s">
        <v>399</v>
      </c>
      <c r="P96" s="5"/>
    </row>
    <row r="97" spans="1:16" ht="19" customHeight="1">
      <c r="A97" s="5" t="str">
        <f>IF(E97&lt;&gt;"", "A"&amp;UPPER(LEFT(E97, 1)) &amp; TEXT(COUNTIF($E$3:E97, E97), "0000"), "")</f>
        <v>AQ0039</v>
      </c>
      <c r="B97" s="5" t="s">
        <v>183</v>
      </c>
      <c r="C97" s="5" t="s">
        <v>184</v>
      </c>
      <c r="D97" s="5" t="s">
        <v>400</v>
      </c>
      <c r="E97" s="5" t="s">
        <v>41</v>
      </c>
      <c r="F97" s="5" t="s">
        <v>20</v>
      </c>
      <c r="G97" s="5"/>
      <c r="H97" s="5" t="s">
        <v>234</v>
      </c>
      <c r="I97" s="5"/>
      <c r="J97" s="5"/>
      <c r="K97" s="5"/>
      <c r="L97" s="5"/>
      <c r="M97" s="5"/>
      <c r="N97" s="7" t="str">
        <f t="shared" si="1"/>
        <v>AQ0039 LCGJ DMS</v>
      </c>
      <c r="O97" s="10" t="s">
        <v>401</v>
      </c>
      <c r="P97" s="5"/>
    </row>
    <row r="98" spans="1:16" ht="19" customHeight="1">
      <c r="A98" s="5" t="str">
        <f>IF(E98&lt;&gt;"", "A"&amp;UPPER(LEFT(E98, 1)) &amp; TEXT(COUNTIF($E$3:E98, E98), "0000"), "")</f>
        <v>AQ0040</v>
      </c>
      <c r="B98" s="5" t="s">
        <v>50</v>
      </c>
      <c r="C98" s="5" t="s">
        <v>51</v>
      </c>
      <c r="D98" s="5" t="s">
        <v>402</v>
      </c>
      <c r="E98" s="5" t="s">
        <v>41</v>
      </c>
      <c r="F98" s="5" t="s">
        <v>53</v>
      </c>
      <c r="G98" s="5" t="s">
        <v>403</v>
      </c>
      <c r="H98" s="5" t="s">
        <v>21</v>
      </c>
      <c r="I98" s="5"/>
      <c r="J98" s="6">
        <v>45418</v>
      </c>
      <c r="K98" s="6">
        <v>45432</v>
      </c>
      <c r="L98" s="5"/>
      <c r="M98" s="5"/>
      <c r="N98" s="7" t="str">
        <f t="shared" si="1"/>
        <v>AQ0040 DFS CP008 MS</v>
      </c>
      <c r="O98" s="10" t="s">
        <v>404</v>
      </c>
      <c r="P98" s="5"/>
    </row>
    <row r="99" spans="1:16" ht="19" customHeight="1">
      <c r="A99" s="5" t="str">
        <f>IF(E99&lt;&gt;"", "A"&amp;UPPER(LEFT(E99, 1)) &amp; TEXT(COUNTIF($E$3:E99, E99), "0000"), "")</f>
        <v>AQ0041</v>
      </c>
      <c r="B99" s="5" t="s">
        <v>58</v>
      </c>
      <c r="C99" s="5" t="s">
        <v>297</v>
      </c>
      <c r="D99" s="5" t="s">
        <v>405</v>
      </c>
      <c r="E99" s="5" t="s">
        <v>41</v>
      </c>
      <c r="F99" s="5" t="s">
        <v>296</v>
      </c>
      <c r="G99" s="5"/>
      <c r="H99" s="5" t="s">
        <v>27</v>
      </c>
      <c r="I99" s="5"/>
      <c r="J99" s="5"/>
      <c r="K99" s="5"/>
      <c r="L99" s="5"/>
      <c r="M99" s="5"/>
      <c r="N99" s="7" t="str">
        <f t="shared" si="1"/>
        <v>AQ0041 LGS-EX Replacement</v>
      </c>
      <c r="O99" s="10" t="s">
        <v>406</v>
      </c>
      <c r="P99" s="5"/>
    </row>
    <row r="100" spans="1:16" ht="19" customHeight="1">
      <c r="A100" s="5" t="str">
        <f>IF(E100&lt;&gt;"", "A"&amp;UPPER(LEFT(E100, 1)) &amp; TEXT(COUNTIF($E$3:E100, E100), "0000"), "")</f>
        <v>AS0009</v>
      </c>
      <c r="B100" s="5" t="s">
        <v>166</v>
      </c>
      <c r="C100" s="5" t="s">
        <v>167</v>
      </c>
      <c r="D100" s="5" t="s">
        <v>407</v>
      </c>
      <c r="E100" s="5" t="s">
        <v>156</v>
      </c>
      <c r="F100" s="5" t="s">
        <v>53</v>
      </c>
      <c r="G100" s="5"/>
      <c r="H100" s="5" t="s">
        <v>21</v>
      </c>
      <c r="I100" s="5"/>
      <c r="J100" s="5"/>
      <c r="K100" s="5"/>
      <c r="L100" s="5"/>
      <c r="M100" s="5"/>
      <c r="N100" s="7" t="str">
        <f t="shared" si="1"/>
        <v>AS0009 General Service</v>
      </c>
      <c r="O100" s="10" t="s">
        <v>408</v>
      </c>
      <c r="P100" s="5"/>
    </row>
    <row r="101" spans="1:16" ht="19" customHeight="1">
      <c r="A101" s="5" t="str">
        <f>IF(E101&lt;&gt;"", "A"&amp;UPPER(LEFT(E101, 1)) &amp; TEXT(COUNTIF($E$3:E101, E101), "0000"), "")</f>
        <v>AQ0042</v>
      </c>
      <c r="B101" s="5" t="s">
        <v>23</v>
      </c>
      <c r="C101" s="5" t="s">
        <v>24</v>
      </c>
      <c r="D101" s="5" t="s">
        <v>409</v>
      </c>
      <c r="E101" s="5" t="s">
        <v>41</v>
      </c>
      <c r="F101" s="5" t="s">
        <v>20</v>
      </c>
      <c r="G101" s="5" t="s">
        <v>78</v>
      </c>
      <c r="H101" s="5" t="s">
        <v>27</v>
      </c>
      <c r="I101" s="5"/>
      <c r="J101" s="5"/>
      <c r="K101" s="5"/>
      <c r="L101" s="5"/>
      <c r="M101" s="5"/>
      <c r="N101" s="7" t="str">
        <f t="shared" si="1"/>
        <v>AQ0042 UCMS FS MT</v>
      </c>
      <c r="O101" s="10" t="s">
        <v>410</v>
      </c>
      <c r="P101" s="5"/>
    </row>
    <row r="102" spans="1:16" ht="19" customHeight="1">
      <c r="A102" s="5" t="str">
        <f>IF(E102&lt;&gt;"", "A"&amp;UPPER(LEFT(E102, 1)) &amp; TEXT(COUNTIF($E$3:E102, E102), "0000"), "")</f>
        <v>AC0018</v>
      </c>
      <c r="B102" s="5" t="s">
        <v>411</v>
      </c>
      <c r="C102" s="5" t="s">
        <v>412</v>
      </c>
      <c r="D102" s="5" t="s">
        <v>413</v>
      </c>
      <c r="E102" s="5" t="s">
        <v>26</v>
      </c>
      <c r="F102" s="5" t="s">
        <v>296</v>
      </c>
      <c r="G102" s="5"/>
      <c r="H102" s="5" t="s">
        <v>234</v>
      </c>
      <c r="I102" s="5"/>
      <c r="J102" s="5"/>
      <c r="K102" s="5"/>
      <c r="L102" s="5"/>
      <c r="M102" s="5"/>
      <c r="N102" s="7" t="str">
        <f t="shared" si="1"/>
        <v xml:space="preserve">AC0018 Greensteel Mag Separation Collbaration </v>
      </c>
      <c r="O102" s="10" t="s">
        <v>414</v>
      </c>
      <c r="P102" s="5"/>
    </row>
    <row r="103" spans="1:16" ht="19" customHeight="1">
      <c r="A103" s="5" t="str">
        <f>IF(E103&lt;&gt;"", "A"&amp;UPPER(LEFT(E103, 1)) &amp; TEXT(COUNTIF($E$3:E103, E103), "0000"), "")</f>
        <v>AT0030</v>
      </c>
      <c r="B103" s="5" t="s">
        <v>23</v>
      </c>
      <c r="C103" s="5" t="s">
        <v>133</v>
      </c>
      <c r="D103" s="5" t="s">
        <v>46</v>
      </c>
      <c r="E103" s="5" t="s">
        <v>19</v>
      </c>
      <c r="F103" s="5" t="s">
        <v>133</v>
      </c>
      <c r="G103" s="5"/>
      <c r="H103" s="5" t="s">
        <v>27</v>
      </c>
      <c r="I103" s="5"/>
      <c r="J103" s="5"/>
      <c r="K103" s="5"/>
      <c r="L103" s="5"/>
      <c r="M103" s="5"/>
      <c r="N103" s="7" t="str">
        <f t="shared" si="1"/>
        <v>AT0030 WHIMS Testwork</v>
      </c>
      <c r="O103" s="10" t="s">
        <v>415</v>
      </c>
      <c r="P103" s="5"/>
    </row>
    <row r="104" spans="1:16" ht="19" customHeight="1">
      <c r="A104" s="5" t="str">
        <f>IF(E104&lt;&gt;"", "A"&amp;UPPER(LEFT(E104, 1)) &amp; TEXT(COUNTIF($E$3:E104, E104), "0000"), "")</f>
        <v>AQ0043</v>
      </c>
      <c r="B104" s="5" t="s">
        <v>300</v>
      </c>
      <c r="C104" s="5" t="s">
        <v>301</v>
      </c>
      <c r="D104" s="5" t="s">
        <v>416</v>
      </c>
      <c r="E104" s="5" t="s">
        <v>41</v>
      </c>
      <c r="F104" s="5" t="s">
        <v>47</v>
      </c>
      <c r="G104" s="5"/>
      <c r="H104" s="5" t="s">
        <v>235</v>
      </c>
      <c r="I104" s="5"/>
      <c r="J104" s="5"/>
      <c r="K104" s="5"/>
      <c r="L104" s="5"/>
      <c r="M104" s="5"/>
      <c r="N104" s="7" t="str">
        <f t="shared" si="1"/>
        <v>AQ0043 LGS-500 Rentel</v>
      </c>
      <c r="O104" s="10" t="s">
        <v>417</v>
      </c>
      <c r="P104" s="5"/>
    </row>
    <row r="105" spans="1:16" ht="19" customHeight="1">
      <c r="A105" s="5" t="str">
        <f>IF(E105&lt;&gt;"", "A"&amp;UPPER(LEFT(E105, 1)) &amp; TEXT(COUNTIF($E$3:E105, E105), "0000"), "")</f>
        <v>AQ0044</v>
      </c>
      <c r="B105" s="5" t="s">
        <v>72</v>
      </c>
      <c r="C105" s="5" t="s">
        <v>73</v>
      </c>
      <c r="D105" s="5" t="s">
        <v>418</v>
      </c>
      <c r="E105" s="5" t="s">
        <v>41</v>
      </c>
      <c r="F105" s="5" t="s">
        <v>53</v>
      </c>
      <c r="G105" s="5"/>
      <c r="H105" s="5" t="s">
        <v>21</v>
      </c>
      <c r="I105" s="5"/>
      <c r="J105" s="6">
        <v>45434</v>
      </c>
      <c r="K105" s="6">
        <v>45434</v>
      </c>
      <c r="L105" s="5"/>
      <c r="M105" s="5"/>
      <c r="N105" s="7" t="str">
        <f t="shared" si="1"/>
        <v>AQ0044 CGP1 COMPLETE CHANGE</v>
      </c>
      <c r="O105" s="10" t="s">
        <v>420</v>
      </c>
      <c r="P105" s="5"/>
    </row>
    <row r="106" spans="1:16" ht="19" customHeight="1">
      <c r="A106" s="5" t="str">
        <f>IF(E106&lt;&gt;"", "A"&amp;UPPER(LEFT(E106, 1)) &amp; TEXT(COUNTIF($E$3:E106, E106), "0000"), "")</f>
        <v>AQ0045</v>
      </c>
      <c r="B106" s="5" t="s">
        <v>72</v>
      </c>
      <c r="C106" s="5" t="s">
        <v>73</v>
      </c>
      <c r="D106" s="5" t="s">
        <v>419</v>
      </c>
      <c r="E106" s="5" t="s">
        <v>41</v>
      </c>
      <c r="F106" s="5" t="s">
        <v>53</v>
      </c>
      <c r="G106" s="5"/>
      <c r="H106" s="5" t="s">
        <v>21</v>
      </c>
      <c r="I106" s="5"/>
      <c r="J106" s="6">
        <v>45423</v>
      </c>
      <c r="K106" s="6">
        <v>45423</v>
      </c>
      <c r="L106" s="5"/>
      <c r="M106" s="5"/>
      <c r="N106" s="7" t="str">
        <f t="shared" si="1"/>
        <v>AQ0045 CGP2 COMPLETE CHANGE</v>
      </c>
      <c r="O106" s="10" t="s">
        <v>421</v>
      </c>
      <c r="P106" s="5"/>
    </row>
    <row r="107" spans="1:16" ht="19" customHeight="1">
      <c r="A107" s="5" t="str">
        <f>IF(E107&lt;&gt;"", "A"&amp;UPPER(LEFT(E107, 1)) &amp; TEXT(COUNTIF($E$3:E107, E107), "0000"), "")</f>
        <v>AP0003</v>
      </c>
      <c r="B107" s="5" t="s">
        <v>68</v>
      </c>
      <c r="C107" s="5" t="s">
        <v>69</v>
      </c>
      <c r="D107" s="5" t="s">
        <v>137</v>
      </c>
      <c r="E107" s="5" t="s">
        <v>138</v>
      </c>
      <c r="F107" s="5" t="s">
        <v>53</v>
      </c>
      <c r="G107" s="5"/>
      <c r="H107" s="5" t="s">
        <v>21</v>
      </c>
      <c r="I107" s="5"/>
      <c r="J107" s="6">
        <v>45439</v>
      </c>
      <c r="K107" s="6">
        <v>45439</v>
      </c>
      <c r="L107" s="5"/>
      <c r="M107" s="5"/>
      <c r="N107" s="7" t="str">
        <f t="shared" si="1"/>
        <v>AP0003 Spare Parts</v>
      </c>
      <c r="O107" s="10" t="s">
        <v>422</v>
      </c>
      <c r="P107" s="5"/>
    </row>
    <row r="108" spans="1:16" ht="19" customHeight="1">
      <c r="A108" s="5" t="str">
        <f>IF(E108&lt;&gt;"", "A"&amp;UPPER(LEFT(E108, 1)) &amp; TEXT(COUNTIF($E$3:E108, E108), "0000"), "")</f>
        <v>AT0031</v>
      </c>
      <c r="B108" s="5" t="s">
        <v>244</v>
      </c>
      <c r="C108" s="5" t="s">
        <v>245</v>
      </c>
      <c r="D108" s="5" t="s">
        <v>423</v>
      </c>
      <c r="E108" s="5" t="s">
        <v>19</v>
      </c>
      <c r="F108" s="5" t="s">
        <v>20</v>
      </c>
      <c r="G108" s="5"/>
      <c r="H108" s="5" t="s">
        <v>234</v>
      </c>
      <c r="I108" s="5"/>
      <c r="J108" s="5"/>
      <c r="K108" s="5"/>
      <c r="L108" s="5"/>
      <c r="M108" s="5"/>
      <c r="N108" s="7" t="str">
        <f t="shared" si="1"/>
        <v>AT0031 LCGF  Trial</v>
      </c>
      <c r="O108" s="10" t="s">
        <v>424</v>
      </c>
      <c r="P108" s="5"/>
    </row>
    <row r="109" spans="1:16" ht="19" customHeight="1">
      <c r="A109" s="5" t="str">
        <f>IF(E109&lt;&gt;"", "A"&amp;UPPER(LEFT(E109, 1)) &amp; TEXT(COUNTIF($E$3:E109, E109), "0000"), "")</f>
        <v>AQ0046</v>
      </c>
      <c r="B109" s="5" t="s">
        <v>300</v>
      </c>
      <c r="C109" s="5" t="s">
        <v>301</v>
      </c>
      <c r="D109" s="5" t="s">
        <v>425</v>
      </c>
      <c r="E109" s="5" t="s">
        <v>41</v>
      </c>
      <c r="F109" s="5" t="s">
        <v>296</v>
      </c>
      <c r="G109" s="5"/>
      <c r="H109" s="5" t="s">
        <v>235</v>
      </c>
      <c r="I109" s="5"/>
      <c r="J109" s="5"/>
      <c r="K109" s="5"/>
      <c r="L109" s="5"/>
      <c r="M109" s="5"/>
      <c r="N109" s="7" t="str">
        <f t="shared" si="1"/>
        <v xml:space="preserve">AQ0046 LGS-100 </v>
      </c>
      <c r="O109" s="10" t="s">
        <v>426</v>
      </c>
      <c r="P109" s="5"/>
    </row>
    <row r="110" spans="1:16" ht="19" customHeight="1">
      <c r="A110" s="5" t="str">
        <f>IF(E110&lt;&gt;"", "A"&amp;UPPER(LEFT(E110, 1)) &amp; TEXT(COUNTIF($E$3:E110, E110), "0000"), "")</f>
        <v>AC0019</v>
      </c>
      <c r="B110" s="5" t="s">
        <v>427</v>
      </c>
      <c r="C110" s="5" t="s">
        <v>428</v>
      </c>
      <c r="D110" s="5" t="s">
        <v>25</v>
      </c>
      <c r="E110" s="5" t="s">
        <v>26</v>
      </c>
      <c r="F110" s="5" t="s">
        <v>236</v>
      </c>
      <c r="G110" s="5"/>
      <c r="H110" s="5" t="s">
        <v>234</v>
      </c>
      <c r="I110" s="5"/>
      <c r="J110" s="5"/>
      <c r="K110" s="5"/>
      <c r="L110" s="5"/>
      <c r="M110" s="5"/>
      <c r="N110" s="7" t="str">
        <f t="shared" si="1"/>
        <v>AC0019 General Inquiry</v>
      </c>
      <c r="O110" s="10" t="s">
        <v>431</v>
      </c>
      <c r="P110" s="5"/>
    </row>
    <row r="111" spans="1:16" ht="19" customHeight="1">
      <c r="A111" s="5" t="str">
        <f>IF(E111&lt;&gt;"", "A"&amp;UPPER(LEFT(E111, 1)) &amp; TEXT(COUNTIF($E$3:E111, E111), "0000"), "")</f>
        <v>AQ0047</v>
      </c>
      <c r="B111" s="5" t="s">
        <v>23</v>
      </c>
      <c r="C111" s="5" t="s">
        <v>24</v>
      </c>
      <c r="D111" s="5" t="s">
        <v>432</v>
      </c>
      <c r="E111" s="5" t="s">
        <v>41</v>
      </c>
      <c r="F111" s="5" t="s">
        <v>20</v>
      </c>
      <c r="G111" s="5" t="s">
        <v>403</v>
      </c>
      <c r="H111" s="5" t="s">
        <v>27</v>
      </c>
      <c r="I111" s="5"/>
      <c r="J111" s="5"/>
      <c r="K111" s="5"/>
      <c r="L111" s="5"/>
      <c r="M111" s="5"/>
      <c r="N111" s="7" t="str">
        <f t="shared" si="1"/>
        <v>AQ0047 12935 CP008B DIMS Package</v>
      </c>
      <c r="O111" s="10" t="s">
        <v>433</v>
      </c>
      <c r="P111" s="5"/>
    </row>
    <row r="112" spans="1:16" ht="19" customHeight="1">
      <c r="A112" s="5" t="str">
        <f>IF(E112&lt;&gt;"", "A"&amp;UPPER(LEFT(E112, 1)) &amp; TEXT(COUNTIF($E$3:E112, E112), "0000"), "")</f>
        <v>AQ0048</v>
      </c>
      <c r="B112" s="5" t="s">
        <v>23</v>
      </c>
      <c r="C112" s="5" t="s">
        <v>24</v>
      </c>
      <c r="D112" s="5" t="s">
        <v>434</v>
      </c>
      <c r="E112" s="5" t="s">
        <v>41</v>
      </c>
      <c r="F112" s="5" t="s">
        <v>20</v>
      </c>
      <c r="G112" s="5" t="s">
        <v>403</v>
      </c>
      <c r="H112" s="5" t="s">
        <v>27</v>
      </c>
      <c r="I112" s="5"/>
      <c r="J112" s="5"/>
      <c r="K112" s="5"/>
      <c r="L112" s="5"/>
      <c r="M112" s="5"/>
      <c r="N112" s="7" t="str">
        <f t="shared" si="1"/>
        <v>AQ0048 12935 CP008C LJC Package</v>
      </c>
      <c r="O112" s="10" t="s">
        <v>435</v>
      </c>
      <c r="P112" s="5"/>
    </row>
    <row r="113" spans="1:16" ht="19" customHeight="1">
      <c r="A113" s="5" t="str">
        <f>IF(E113&lt;&gt;"", "A"&amp;UPPER(LEFT(E113, 1)) &amp; TEXT(COUNTIF($E$3:E113, E113), "0000"), "")</f>
        <v>AT0032</v>
      </c>
      <c r="B113" s="5" t="s">
        <v>166</v>
      </c>
      <c r="C113" s="5" t="s">
        <v>167</v>
      </c>
      <c r="D113" s="5" t="s">
        <v>436</v>
      </c>
      <c r="E113" s="5" t="s">
        <v>19</v>
      </c>
      <c r="F113" s="5" t="s">
        <v>53</v>
      </c>
      <c r="G113" s="5"/>
      <c r="H113" s="5" t="s">
        <v>21</v>
      </c>
      <c r="I113" s="5"/>
      <c r="J113" s="5"/>
      <c r="K113" s="5"/>
      <c r="L113" s="5"/>
      <c r="M113" s="5"/>
      <c r="N113" s="7" t="str">
        <f t="shared" si="1"/>
        <v>AT0032 Dry Magnetic Separation Testwork</v>
      </c>
      <c r="O113" s="10" t="s">
        <v>437</v>
      </c>
      <c r="P113" s="5"/>
    </row>
    <row r="114" spans="1:16" ht="19" customHeight="1">
      <c r="A114" s="5" t="str">
        <f>IF(E114&lt;&gt;"", "A"&amp;UPPER(LEFT(E114, 1)) &amp; TEXT(COUNTIF($E$3:E114, E114), "0000"), "")</f>
        <v>AQ0049</v>
      </c>
      <c r="B114" s="5" t="s">
        <v>63</v>
      </c>
      <c r="C114" s="5" t="s">
        <v>64</v>
      </c>
      <c r="D114" s="5" t="s">
        <v>438</v>
      </c>
      <c r="E114" s="5" t="s">
        <v>41</v>
      </c>
      <c r="F114" s="5" t="s">
        <v>20</v>
      </c>
      <c r="G114" s="5"/>
      <c r="H114" s="5" t="s">
        <v>234</v>
      </c>
      <c r="I114" s="5"/>
      <c r="J114" s="5"/>
      <c r="K114" s="5"/>
      <c r="L114" s="5"/>
      <c r="M114" s="5"/>
      <c r="N114" s="7" t="str">
        <f t="shared" si="1"/>
        <v>AQ0049 RCMS Replacement(LJC)</v>
      </c>
      <c r="O114" s="10" t="s">
        <v>439</v>
      </c>
      <c r="P114" s="5"/>
    </row>
    <row r="115" spans="1:16" ht="19" customHeight="1">
      <c r="A115" s="5" t="str">
        <f>IF(E115&lt;&gt;"", "A"&amp;UPPER(LEFT(E115, 1)) &amp; TEXT(COUNTIF($E$3:E115, E115), "0000"), "")</f>
        <v>AQ0050</v>
      </c>
      <c r="B115" s="5" t="s">
        <v>63</v>
      </c>
      <c r="C115" s="5" t="s">
        <v>440</v>
      </c>
      <c r="D115" s="5" t="s">
        <v>441</v>
      </c>
      <c r="E115" s="5" t="s">
        <v>41</v>
      </c>
      <c r="F115" s="5" t="s">
        <v>133</v>
      </c>
      <c r="G115" s="5"/>
      <c r="H115" s="5" t="s">
        <v>27</v>
      </c>
      <c r="I115" s="5"/>
      <c r="J115" s="5"/>
      <c r="K115" s="5"/>
      <c r="L115" s="5"/>
      <c r="M115" s="5"/>
      <c r="N115" s="7" t="str">
        <f t="shared" si="1"/>
        <v>AQ0050 Second LGS500</v>
      </c>
      <c r="O115" s="10" t="s">
        <v>442</v>
      </c>
      <c r="P115" s="5"/>
    </row>
    <row r="116" spans="1:16" ht="19" customHeight="1">
      <c r="A116" s="5" t="str">
        <f>IF(E116&lt;&gt;"", "A"&amp;UPPER(LEFT(E116, 1)) &amp; TEXT(COUNTIF($E$3:E116, E116), "0000"), "")</f>
        <v>AT0033</v>
      </c>
      <c r="B116" s="5" t="s">
        <v>427</v>
      </c>
      <c r="C116" s="5" t="s">
        <v>428</v>
      </c>
      <c r="D116" s="5" t="s">
        <v>443</v>
      </c>
      <c r="E116" s="5" t="s">
        <v>19</v>
      </c>
      <c r="F116" s="5" t="s">
        <v>236</v>
      </c>
      <c r="G116" s="5"/>
      <c r="H116" s="5" t="s">
        <v>235</v>
      </c>
      <c r="I116" s="5"/>
      <c r="J116" s="5"/>
      <c r="K116" s="5"/>
      <c r="L116" s="5"/>
      <c r="M116" s="5"/>
      <c r="N116" s="7" t="str">
        <f t="shared" si="1"/>
        <v>AT0033 Magnetic Separation Testwork</v>
      </c>
      <c r="O116" s="10" t="s">
        <v>444</v>
      </c>
      <c r="P116" s="5"/>
    </row>
    <row r="117" spans="1:16" ht="19" customHeight="1">
      <c r="A117" s="5" t="str">
        <f>IF(E117&lt;&gt;"", "A"&amp;UPPER(LEFT(E117, 1)) &amp; TEXT(COUNTIF($E$3:E117, E117), "0000"), "")</f>
        <v>AC0020</v>
      </c>
      <c r="B117" s="5" t="s">
        <v>445</v>
      </c>
      <c r="C117" s="5" t="s">
        <v>446</v>
      </c>
      <c r="D117" s="5" t="s">
        <v>25</v>
      </c>
      <c r="E117" s="5" t="s">
        <v>26</v>
      </c>
      <c r="F117" s="5" t="s">
        <v>20</v>
      </c>
      <c r="G117" s="5"/>
      <c r="H117" s="5" t="s">
        <v>235</v>
      </c>
      <c r="I117" s="5"/>
      <c r="J117" s="5"/>
      <c r="K117" s="5"/>
      <c r="L117" s="5"/>
      <c r="M117" s="5"/>
      <c r="N117" s="7" t="str">
        <f t="shared" si="1"/>
        <v>AC0020 General Inquiry</v>
      </c>
      <c r="O117" s="10" t="s">
        <v>447</v>
      </c>
      <c r="P117" s="5"/>
    </row>
    <row r="118" spans="1:16" ht="19" customHeight="1">
      <c r="A118" s="5" t="str">
        <f>IF(E118&lt;&gt;"", "A"&amp;UPPER(LEFT(E118, 1)) &amp; TEXT(COUNTIF($E$3:E118, E118), "0000"), "")</f>
        <v>AQ0051</v>
      </c>
      <c r="B118" s="5" t="s">
        <v>68</v>
      </c>
      <c r="C118" s="5" t="s">
        <v>155</v>
      </c>
      <c r="D118" s="5" t="s">
        <v>448</v>
      </c>
      <c r="E118" s="5" t="s">
        <v>41</v>
      </c>
      <c r="F118" s="5" t="s">
        <v>53</v>
      </c>
      <c r="G118" s="5"/>
      <c r="H118" s="5" t="s">
        <v>21</v>
      </c>
      <c r="I118" s="5"/>
      <c r="J118" s="5"/>
      <c r="K118" s="5"/>
      <c r="L118" s="5"/>
      <c r="M118" s="5"/>
      <c r="N118" s="7" t="str">
        <f t="shared" si="1"/>
        <v>AQ0051 WHIMS Protection LIMS</v>
      </c>
      <c r="O118" s="10" t="s">
        <v>451</v>
      </c>
      <c r="P118" s="5"/>
    </row>
    <row r="119" spans="1:16" ht="19" customHeight="1">
      <c r="A119" s="5" t="str">
        <f>IF(E119&lt;&gt;"", "A"&amp;UPPER(LEFT(E119, 1)) &amp; TEXT(COUNTIF($E$3:E119, E119), "0000"), "")</f>
        <v>AT0034</v>
      </c>
      <c r="B119" s="5" t="s">
        <v>449</v>
      </c>
      <c r="C119" s="5" t="s">
        <v>449</v>
      </c>
      <c r="D119" s="5" t="s">
        <v>450</v>
      </c>
      <c r="E119" s="5" t="s">
        <v>19</v>
      </c>
      <c r="F119" s="5" t="s">
        <v>133</v>
      </c>
      <c r="G119" s="5"/>
      <c r="H119" s="5" t="s">
        <v>235</v>
      </c>
      <c r="I119" s="5"/>
      <c r="J119" s="5"/>
      <c r="K119" s="5"/>
      <c r="L119" s="5"/>
      <c r="M119" s="5"/>
      <c r="N119" s="7" t="str">
        <f t="shared" si="1"/>
        <v>AT0034 Cyclone OF Recovery Testwork</v>
      </c>
      <c r="O119" s="10" t="s">
        <v>452</v>
      </c>
      <c r="P119" s="5"/>
    </row>
    <row r="120" spans="1:16" ht="19" customHeight="1">
      <c r="A120" s="5" t="str">
        <f>IF(E120&lt;&gt;"", "A"&amp;UPPER(LEFT(E120, 1)) &amp; TEXT(COUNTIF($E$3:E120, E120), "0000"), "")</f>
        <v>AT0035</v>
      </c>
      <c r="B120" s="5" t="s">
        <v>98</v>
      </c>
      <c r="C120" s="5" t="s">
        <v>99</v>
      </c>
      <c r="D120" s="5" t="s">
        <v>456</v>
      </c>
      <c r="E120" s="5" t="s">
        <v>19</v>
      </c>
      <c r="F120" s="5" t="s">
        <v>20</v>
      </c>
      <c r="G120" s="5"/>
      <c r="H120" s="5" t="s">
        <v>235</v>
      </c>
      <c r="I120" s="5"/>
      <c r="J120" s="5"/>
      <c r="K120" s="5"/>
      <c r="L120" s="5"/>
      <c r="M120" s="5"/>
      <c r="N120" s="7" t="str">
        <f t="shared" si="1"/>
        <v>AT0035 Metallurgical Testworks</v>
      </c>
      <c r="O120" s="10" t="s">
        <v>458</v>
      </c>
      <c r="P120" s="5"/>
    </row>
    <row r="121" spans="1:16" ht="19" customHeight="1">
      <c r="A121" s="5" t="str">
        <f>IF(E121&lt;&gt;"", "A"&amp;UPPER(LEFT(E121, 1)) &amp; TEXT(COUNTIF($E$3:E121, E121), "0000"), "")</f>
        <v>AT0036</v>
      </c>
      <c r="B121" s="5" t="s">
        <v>98</v>
      </c>
      <c r="C121" s="5" t="s">
        <v>453</v>
      </c>
      <c r="D121" s="5" t="s">
        <v>457</v>
      </c>
      <c r="E121" s="5" t="s">
        <v>19</v>
      </c>
      <c r="F121" s="5" t="s">
        <v>236</v>
      </c>
      <c r="G121" s="5"/>
      <c r="H121" s="5" t="s">
        <v>235</v>
      </c>
      <c r="I121" s="5"/>
      <c r="J121" s="5"/>
      <c r="K121" s="5"/>
      <c r="L121" s="5"/>
      <c r="M121" s="5"/>
      <c r="N121" s="7" t="str">
        <f t="shared" si="1"/>
        <v>AT0036 Dry MS Testwork</v>
      </c>
      <c r="O121" s="10" t="s">
        <v>459</v>
      </c>
      <c r="P121" s="5"/>
    </row>
    <row r="122" spans="1:16" ht="19" customHeight="1">
      <c r="A122" s="5" t="str">
        <f>IF(E122&lt;&gt;"", "A"&amp;UPPER(LEFT(E122, 1)) &amp; TEXT(COUNTIF($E$3:E122, E122), "0000"), "")</f>
        <v>AT0037</v>
      </c>
      <c r="B122" s="5" t="s">
        <v>98</v>
      </c>
      <c r="C122" s="5" t="s">
        <v>454</v>
      </c>
      <c r="D122" s="5" t="s">
        <v>455</v>
      </c>
      <c r="E122" s="5" t="s">
        <v>19</v>
      </c>
      <c r="F122" s="5" t="s">
        <v>20</v>
      </c>
      <c r="G122" s="5"/>
      <c r="H122" s="5" t="s">
        <v>235</v>
      </c>
      <c r="I122" s="5"/>
      <c r="J122" s="5"/>
      <c r="K122" s="5"/>
      <c r="L122" s="5"/>
      <c r="M122" s="5"/>
      <c r="N122" s="7" t="str">
        <f t="shared" si="1"/>
        <v>AT0037 MS Testworks</v>
      </c>
      <c r="O122" s="10" t="s">
        <v>460</v>
      </c>
      <c r="P122" s="5"/>
    </row>
    <row r="123" spans="1:16" ht="19" customHeight="1">
      <c r="A123" s="5" t="str">
        <f>IF(E123&lt;&gt;"", "A"&amp;UPPER(LEFT(E123, 1)) &amp; TEXT(COUNTIF($E$3:E123, E123), "0000"), "")</f>
        <v>AT0038</v>
      </c>
      <c r="B123" s="5" t="s">
        <v>63</v>
      </c>
      <c r="C123" s="5" t="s">
        <v>461</v>
      </c>
      <c r="D123" s="5" t="s">
        <v>25</v>
      </c>
      <c r="E123" s="5" t="s">
        <v>19</v>
      </c>
      <c r="F123" s="5" t="s">
        <v>133</v>
      </c>
      <c r="G123" s="5"/>
      <c r="H123" s="5" t="s">
        <v>234</v>
      </c>
      <c r="I123" s="5"/>
      <c r="J123" s="5"/>
      <c r="K123" s="5"/>
      <c r="L123" s="5"/>
      <c r="M123" s="5"/>
      <c r="N123" s="7" t="str">
        <f t="shared" si="1"/>
        <v>AT0038 General Inquiry</v>
      </c>
      <c r="O123" s="10" t="s">
        <v>462</v>
      </c>
      <c r="P123" s="5"/>
    </row>
    <row r="124" spans="1:16" ht="19" customHeight="1">
      <c r="A124" s="5" t="str">
        <f>IF(E124&lt;&gt;"", "A"&amp;UPPER(LEFT(E124, 1)) &amp; TEXT(COUNTIF($E$3:E124, E124), "0000"), "")</f>
        <v>AT0039</v>
      </c>
      <c r="B124" s="5" t="s">
        <v>445</v>
      </c>
      <c r="C124" s="5" t="s">
        <v>446</v>
      </c>
      <c r="D124" s="5" t="s">
        <v>18</v>
      </c>
      <c r="E124" s="5" t="s">
        <v>19</v>
      </c>
      <c r="F124" s="5" t="s">
        <v>20</v>
      </c>
      <c r="G124" s="5"/>
      <c r="H124" s="5" t="s">
        <v>235</v>
      </c>
      <c r="I124" s="5"/>
      <c r="J124" s="5"/>
      <c r="K124" s="5"/>
      <c r="L124" s="5"/>
      <c r="M124" s="5"/>
      <c r="N124" s="7" t="str">
        <f t="shared" si="1"/>
        <v>AT0039 Magnetic Separation Trial</v>
      </c>
      <c r="O124" s="10" t="s">
        <v>463</v>
      </c>
      <c r="P124" s="5"/>
    </row>
    <row r="125" spans="1:16" ht="19" customHeight="1">
      <c r="A125" s="5" t="str">
        <f>IF(E125&lt;&gt;"", "A"&amp;UPPER(LEFT(E125, 1)) &amp; TEXT(COUNTIF($E$3:E125, E125), "0000"), "")</f>
        <v>AQ0052</v>
      </c>
      <c r="B125" s="5" t="s">
        <v>478</v>
      </c>
      <c r="C125" s="5" t="s">
        <v>479</v>
      </c>
      <c r="D125" s="5" t="s">
        <v>480</v>
      </c>
      <c r="E125" s="5" t="s">
        <v>41</v>
      </c>
      <c r="F125" s="5" t="s">
        <v>355</v>
      </c>
      <c r="G125" s="5"/>
      <c r="H125" s="5" t="s">
        <v>234</v>
      </c>
      <c r="I125" s="5"/>
      <c r="J125" s="5"/>
      <c r="K125" s="5"/>
      <c r="L125" s="5"/>
      <c r="M125" s="5"/>
      <c r="N125" s="7" t="str">
        <f t="shared" si="1"/>
        <v>AQ0052 RFQ-004 LIMS</v>
      </c>
      <c r="O125" s="10" t="s">
        <v>481</v>
      </c>
      <c r="P125" s="5"/>
    </row>
    <row r="126" spans="1:16" ht="19" customHeight="1">
      <c r="A126" s="5" t="str">
        <f>IF(E126&lt;&gt;"", "A"&amp;UPPER(LEFT(E126, 1)) &amp; TEXT(COUNTIF($E$3:E126, E126), "0000"), "")</f>
        <v>AT0040</v>
      </c>
      <c r="B126" s="5" t="s">
        <v>244</v>
      </c>
      <c r="C126" s="5" t="s">
        <v>245</v>
      </c>
      <c r="D126" s="5" t="s">
        <v>436</v>
      </c>
      <c r="E126" s="5" t="s">
        <v>19</v>
      </c>
      <c r="F126" s="5" t="s">
        <v>20</v>
      </c>
      <c r="G126" s="5"/>
      <c r="H126" s="5" t="s">
        <v>235</v>
      </c>
      <c r="I126" s="5"/>
      <c r="J126" s="5"/>
      <c r="K126" s="5"/>
      <c r="L126" s="5"/>
      <c r="M126" s="5"/>
      <c r="N126" s="7" t="str">
        <f t="shared" si="1"/>
        <v>AT0040 Dry Magnetic Separation Testwork</v>
      </c>
      <c r="O126" s="10" t="s">
        <v>482</v>
      </c>
      <c r="P126" s="5"/>
    </row>
    <row r="127" spans="1:16" ht="19" customHeight="1">
      <c r="A127" s="5" t="str">
        <f>IF(E127&lt;&gt;"", "A"&amp;UPPER(LEFT(E127, 1)) &amp; TEXT(COUNTIF($E$3:E127, E127), "0000"), "")</f>
        <v>AS0010</v>
      </c>
      <c r="B127" s="5" t="s">
        <v>63</v>
      </c>
      <c r="C127" s="5" t="s">
        <v>136</v>
      </c>
      <c r="D127" s="5" t="s">
        <v>281</v>
      </c>
      <c r="E127" s="5" t="s">
        <v>156</v>
      </c>
      <c r="F127" s="5" t="s">
        <v>133</v>
      </c>
      <c r="G127" s="5"/>
      <c r="H127" s="5" t="s">
        <v>234</v>
      </c>
      <c r="I127" s="5"/>
      <c r="J127" s="5"/>
      <c r="K127" s="5"/>
      <c r="L127" s="5"/>
      <c r="M127" s="5"/>
      <c r="N127" s="7" t="str">
        <f t="shared" si="1"/>
        <v>AS0010 WHIMS Service</v>
      </c>
      <c r="O127" s="10" t="s">
        <v>483</v>
      </c>
      <c r="P127" s="5"/>
    </row>
    <row r="128" spans="1:16" ht="19" customHeight="1">
      <c r="A128" s="5" t="str">
        <f>IF(E128&lt;&gt;"", "A"&amp;UPPER(LEFT(E128, 1)) &amp; TEXT(COUNTIF($E$3:E128, E128), "0000"), "")</f>
        <v>AQ0053</v>
      </c>
      <c r="B128" s="5" t="s">
        <v>63</v>
      </c>
      <c r="C128" s="5" t="s">
        <v>64</v>
      </c>
      <c r="D128" s="5" t="s">
        <v>484</v>
      </c>
      <c r="E128" s="5" t="s">
        <v>41</v>
      </c>
      <c r="F128" s="5" t="s">
        <v>20</v>
      </c>
      <c r="G128" s="5"/>
      <c r="H128" s="5" t="s">
        <v>234</v>
      </c>
      <c r="I128" s="5"/>
      <c r="J128" s="5"/>
      <c r="K128" s="5"/>
      <c r="L128" s="5"/>
      <c r="M128" s="5"/>
      <c r="N128" s="7" t="str">
        <f t="shared" si="1"/>
        <v>AQ0053 Dry Magnetic Separation Drum Replacement</v>
      </c>
      <c r="O128" s="10" t="s">
        <v>485</v>
      </c>
      <c r="P128" s="5"/>
    </row>
    <row r="129" spans="1:16" ht="19" customHeight="1">
      <c r="A129" s="5" t="str">
        <f>IF(E129&lt;&gt;"", "A"&amp;UPPER(LEFT(E129, 1)) &amp; TEXT(COUNTIF($E$3:E129, E129), "0000"), "")</f>
        <v>AT0041</v>
      </c>
      <c r="B129" s="5" t="s">
        <v>68</v>
      </c>
      <c r="C129" s="5" t="s">
        <v>69</v>
      </c>
      <c r="D129" s="5" t="s">
        <v>46</v>
      </c>
      <c r="E129" s="5" t="s">
        <v>19</v>
      </c>
      <c r="F129" s="5" t="s">
        <v>53</v>
      </c>
      <c r="G129" s="5"/>
      <c r="H129" s="5" t="s">
        <v>234</v>
      </c>
      <c r="I129" s="5"/>
      <c r="J129" s="5"/>
      <c r="K129" s="5"/>
      <c r="L129" s="5"/>
      <c r="M129" s="5"/>
      <c r="N129" s="7" t="str">
        <f t="shared" si="1"/>
        <v>AT0041 WHIMS Testwork</v>
      </c>
      <c r="O129" s="10" t="s">
        <v>486</v>
      </c>
      <c r="P129" s="5"/>
    </row>
    <row r="130" spans="1:16" ht="19" customHeight="1">
      <c r="A130" s="5" t="str">
        <f>IF(E130&lt;&gt;"", "A"&amp;UPPER(LEFT(E130, 1)) &amp; TEXT(COUNTIF($E$3:E130, E130), "0000"), "")</f>
        <v>AC0021</v>
      </c>
      <c r="B130" s="5" t="s">
        <v>63</v>
      </c>
      <c r="C130" s="5" t="s">
        <v>487</v>
      </c>
      <c r="D130" s="5" t="s">
        <v>488</v>
      </c>
      <c r="E130" s="5" t="s">
        <v>26</v>
      </c>
      <c r="F130" s="5" t="s">
        <v>133</v>
      </c>
      <c r="G130" s="5"/>
      <c r="H130" s="5" t="s">
        <v>234</v>
      </c>
      <c r="I130" s="5"/>
      <c r="J130" s="5"/>
      <c r="K130" s="5"/>
      <c r="L130" s="5"/>
      <c r="M130" s="5"/>
      <c r="N130" s="7" t="str">
        <f t="shared" si="1"/>
        <v>AC0021  OPF Tails Scavenging Testwork</v>
      </c>
      <c r="O130" s="10" t="s">
        <v>489</v>
      </c>
      <c r="P130" s="5"/>
    </row>
    <row r="131" spans="1:16" ht="19" customHeight="1">
      <c r="A131" s="5" t="str">
        <f>IF(E131&lt;&gt;"", "A"&amp;UPPER(LEFT(E131, 1)) &amp; TEXT(COUNTIF($E$3:E131, E131), "0000"), "")</f>
        <v>AQ0054</v>
      </c>
      <c r="B131" s="5" t="s">
        <v>68</v>
      </c>
      <c r="C131" s="5" t="s">
        <v>69</v>
      </c>
      <c r="D131" s="5" t="s">
        <v>490</v>
      </c>
      <c r="E131" s="5" t="s">
        <v>41</v>
      </c>
      <c r="F131" s="5" t="s">
        <v>53</v>
      </c>
      <c r="G131" s="5"/>
      <c r="H131" s="5" t="s">
        <v>234</v>
      </c>
      <c r="I131" s="5"/>
      <c r="J131" s="5"/>
      <c r="K131" s="5"/>
      <c r="L131" s="5"/>
      <c r="M131" s="5"/>
      <c r="N131" s="7" t="str">
        <f t="shared" si="1"/>
        <v>AQ0054 RFP - PP007 - MRL3468 MS (LIMS) - Train 4</v>
      </c>
      <c r="O131" s="10" t="s">
        <v>492</v>
      </c>
      <c r="P131" s="5"/>
    </row>
    <row r="132" spans="1:16" ht="19" customHeight="1">
      <c r="A132" s="5" t="str">
        <f>IF(E132&lt;&gt;"", "A"&amp;UPPER(LEFT(E132, 1)) &amp; TEXT(COUNTIF($E$3:E132, E132), "0000"), "")</f>
        <v>AQ0055</v>
      </c>
      <c r="B132" s="5" t="s">
        <v>68</v>
      </c>
      <c r="C132" s="5" t="s">
        <v>69</v>
      </c>
      <c r="D132" s="5" t="s">
        <v>491</v>
      </c>
      <c r="E132" s="5" t="s">
        <v>41</v>
      </c>
      <c r="F132" s="5" t="s">
        <v>53</v>
      </c>
      <c r="G132" s="5"/>
      <c r="H132" s="5" t="s">
        <v>234</v>
      </c>
      <c r="I132" s="5"/>
      <c r="J132" s="5"/>
      <c r="K132" s="5"/>
      <c r="L132" s="5"/>
      <c r="M132" s="5"/>
      <c r="N132" s="7" t="str">
        <f t="shared" si="1"/>
        <v>AQ0055 RFP - PP007 - MRL3468 MS (WHIMS) - Train 4</v>
      </c>
      <c r="O132" s="10" t="s">
        <v>493</v>
      </c>
      <c r="P132" s="5"/>
    </row>
    <row r="133" spans="1:16" ht="19" customHeight="1">
      <c r="A133" s="5" t="str">
        <f>IF(E133&lt;&gt;"", "A"&amp;UPPER(LEFT(E133, 1)) &amp; TEXT(COUNTIF($E$3:E133, E133), "0000"), "")</f>
        <v>AQ0056</v>
      </c>
      <c r="B133" s="5" t="s">
        <v>68</v>
      </c>
      <c r="C133" s="5" t="s">
        <v>69</v>
      </c>
      <c r="D133" s="5" t="s">
        <v>490</v>
      </c>
      <c r="E133" s="5" t="s">
        <v>41</v>
      </c>
      <c r="F133" s="5" t="s">
        <v>53</v>
      </c>
      <c r="G133" s="5"/>
      <c r="H133" s="5" t="s">
        <v>234</v>
      </c>
      <c r="I133" s="5"/>
      <c r="J133" s="5"/>
      <c r="K133" s="5"/>
      <c r="L133" s="5"/>
      <c r="M133" s="5"/>
      <c r="N133" s="7" t="str">
        <f t="shared" ref="N133:N195" si="2">A133&amp;" "&amp;D133</f>
        <v>AQ0056 RFP - PP007 - MRL3468 MS (LIMS) - Train 4</v>
      </c>
      <c r="O133" s="10" t="s">
        <v>494</v>
      </c>
      <c r="P133" s="5"/>
    </row>
    <row r="134" spans="1:16" ht="19" customHeight="1">
      <c r="A134" s="5" t="str">
        <f>IF(E134&lt;&gt;"", "A"&amp;UPPER(LEFT(E134, 1)) &amp; TEXT(COUNTIF($E$3:E134, E134), "0000"), "")</f>
        <v>AT0042</v>
      </c>
      <c r="B134" s="5" t="s">
        <v>158</v>
      </c>
      <c r="C134" s="5" t="s">
        <v>316</v>
      </c>
      <c r="D134" s="5" t="s">
        <v>503</v>
      </c>
      <c r="E134" s="5" t="s">
        <v>19</v>
      </c>
      <c r="F134" s="5" t="s">
        <v>495</v>
      </c>
      <c r="G134" s="5"/>
      <c r="H134" s="5" t="s">
        <v>235</v>
      </c>
      <c r="I134" s="5"/>
      <c r="J134" s="5"/>
      <c r="K134" s="5"/>
      <c r="L134" s="5"/>
      <c r="M134" s="5"/>
      <c r="N134" s="7" t="str">
        <f t="shared" si="2"/>
        <v>AT0042 Q4'24 WHIMS Testwork</v>
      </c>
      <c r="O134" s="10" t="s">
        <v>504</v>
      </c>
      <c r="P134" s="5"/>
    </row>
    <row r="135" spans="1:16" ht="19" customHeight="1">
      <c r="A135" s="5" t="str">
        <f>IF(E135&lt;&gt;"", "A"&amp;UPPER(LEFT(E135, 1)) &amp; TEXT(COUNTIF($E$3:E135, E135), "0000"), "")</f>
        <v>AT0043</v>
      </c>
      <c r="B135" s="5" t="s">
        <v>166</v>
      </c>
      <c r="C135" s="5" t="s">
        <v>167</v>
      </c>
      <c r="D135" s="5" t="s">
        <v>496</v>
      </c>
      <c r="E135" s="5" t="s">
        <v>19</v>
      </c>
      <c r="F135" s="5" t="s">
        <v>53</v>
      </c>
      <c r="G135" s="5"/>
      <c r="H135" s="5" t="s">
        <v>235</v>
      </c>
      <c r="I135" s="5"/>
      <c r="J135" s="5"/>
      <c r="K135" s="5"/>
      <c r="L135" s="5"/>
      <c r="M135" s="5"/>
      <c r="N135" s="7" t="str">
        <f t="shared" si="2"/>
        <v>AT0043 Coarse DMS Cons MS Testwork</v>
      </c>
      <c r="O135" s="10" t="s">
        <v>497</v>
      </c>
      <c r="P135" s="5"/>
    </row>
    <row r="136" spans="1:16" ht="19" customHeight="1">
      <c r="A136" s="5" t="str">
        <f>IF(E136&lt;&gt;"", "A"&amp;UPPER(LEFT(E136, 1)) &amp; TEXT(COUNTIF($E$3:E136, E136), "0000"), "")</f>
        <v>AQ0057</v>
      </c>
      <c r="B136" s="5" t="s">
        <v>68</v>
      </c>
      <c r="C136" s="5" t="s">
        <v>155</v>
      </c>
      <c r="D136" s="5" t="s">
        <v>498</v>
      </c>
      <c r="E136" s="5" t="s">
        <v>41</v>
      </c>
      <c r="F136" s="5" t="s">
        <v>53</v>
      </c>
      <c r="G136" s="5" t="s">
        <v>499</v>
      </c>
      <c r="H136" s="5" t="s">
        <v>234</v>
      </c>
      <c r="I136" s="5"/>
      <c r="J136" s="6">
        <v>45538</v>
      </c>
      <c r="K136" s="5"/>
      <c r="L136" s="5"/>
      <c r="M136" s="5"/>
      <c r="N136" s="7" t="str">
        <f t="shared" si="2"/>
        <v>AQ0057 Fine Flotation Study</v>
      </c>
      <c r="O136" s="10" t="s">
        <v>500</v>
      </c>
      <c r="P136" s="5"/>
    </row>
    <row r="137" spans="1:16" ht="19" customHeight="1">
      <c r="A137" s="5" t="str">
        <f>IF(E137&lt;&gt;"", "A"&amp;UPPER(LEFT(E137, 1)) &amp; TEXT(COUNTIF($E$3:E137, E137), "0000"), "")</f>
        <v>AT0044</v>
      </c>
      <c r="B137" s="5" t="s">
        <v>158</v>
      </c>
      <c r="C137" s="5" t="s">
        <v>316</v>
      </c>
      <c r="D137" s="5" t="s">
        <v>501</v>
      </c>
      <c r="E137" s="5" t="s">
        <v>19</v>
      </c>
      <c r="F137" s="5" t="s">
        <v>20</v>
      </c>
      <c r="G137" s="5"/>
      <c r="H137" s="5" t="s">
        <v>235</v>
      </c>
      <c r="I137" s="5"/>
      <c r="J137" s="5"/>
      <c r="K137" s="5"/>
      <c r="L137" s="5"/>
      <c r="M137" s="5"/>
      <c r="N137" s="7" t="str">
        <f t="shared" si="2"/>
        <v>AT0044 Magnetic Separation Trial(LCGF)</v>
      </c>
      <c r="O137" s="10" t="s">
        <v>502</v>
      </c>
      <c r="P137" s="5"/>
    </row>
    <row r="138" spans="1:16" ht="19" customHeight="1">
      <c r="A138" s="5" t="str">
        <f>IF(E138&lt;&gt;"", "A"&amp;UPPER(LEFT(E138, 1)) &amp; TEXT(COUNTIF($E$3:E138, E138), "0000"), "")</f>
        <v>AQ0058</v>
      </c>
      <c r="B138" s="5" t="s">
        <v>158</v>
      </c>
      <c r="C138" s="5" t="s">
        <v>520</v>
      </c>
      <c r="D138" s="5" t="s">
        <v>505</v>
      </c>
      <c r="E138" s="5" t="s">
        <v>41</v>
      </c>
      <c r="F138" s="5" t="s">
        <v>133</v>
      </c>
      <c r="G138" s="5" t="s">
        <v>521</v>
      </c>
      <c r="H138" s="5" t="s">
        <v>27</v>
      </c>
      <c r="I138" s="5"/>
      <c r="J138" s="5"/>
      <c r="K138" s="5"/>
      <c r="L138" s="5"/>
      <c r="M138" s="5"/>
      <c r="N138" s="7" t="str">
        <f t="shared" si="2"/>
        <v>AQ0058 Modular Concentrator Conceptual Study(FOC)</v>
      </c>
      <c r="O138" s="10" t="s">
        <v>522</v>
      </c>
      <c r="P138" s="5"/>
    </row>
    <row r="139" spans="1:16" ht="19" customHeight="1">
      <c r="A139" s="5" t="str">
        <f>IF(E139&lt;&gt;"", "A"&amp;UPPER(LEFT(E139, 1)) &amp; TEXT(COUNTIF($E$3:E139, E139), "0000"), "")</f>
        <v>AT0045</v>
      </c>
      <c r="B139" s="5" t="s">
        <v>68</v>
      </c>
      <c r="C139" s="5" t="s">
        <v>155</v>
      </c>
      <c r="D139" s="5" t="s">
        <v>523</v>
      </c>
      <c r="E139" s="5" t="s">
        <v>19</v>
      </c>
      <c r="F139" s="5" t="s">
        <v>53</v>
      </c>
      <c r="G139" s="5" t="s">
        <v>524</v>
      </c>
      <c r="H139" s="5" t="s">
        <v>21</v>
      </c>
      <c r="I139" s="5"/>
      <c r="J139" s="5"/>
      <c r="K139" s="5"/>
      <c r="L139" s="5"/>
      <c r="M139" s="5"/>
      <c r="N139" s="7" t="str">
        <f t="shared" si="2"/>
        <v>AT0045 Coarse MS Testwork</v>
      </c>
      <c r="O139" s="10" t="s">
        <v>525</v>
      </c>
      <c r="P139" s="5"/>
    </row>
    <row r="140" spans="1:16" ht="19" customHeight="1">
      <c r="A140" s="5" t="str">
        <f>IF(E140&lt;&gt;"", "A"&amp;UPPER(LEFT(E140, 1)) &amp; TEXT(COUNTIF($E$3:E140, E140), "0000"), "")</f>
        <v>AC0022</v>
      </c>
      <c r="B140" s="5" t="s">
        <v>526</v>
      </c>
      <c r="C140" s="5" t="s">
        <v>527</v>
      </c>
      <c r="D140" s="5" t="s">
        <v>25</v>
      </c>
      <c r="E140" s="5" t="s">
        <v>26</v>
      </c>
      <c r="F140" s="5" t="s">
        <v>20</v>
      </c>
      <c r="G140" s="5"/>
      <c r="H140" s="5" t="s">
        <v>234</v>
      </c>
      <c r="I140" s="5"/>
      <c r="J140" s="5"/>
      <c r="K140" s="5"/>
      <c r="L140" s="5"/>
      <c r="M140" s="5"/>
      <c r="N140" s="7" t="str">
        <f t="shared" si="2"/>
        <v>AC0022 General Inquiry</v>
      </c>
      <c r="O140" s="10" t="s">
        <v>528</v>
      </c>
      <c r="P140" s="5"/>
    </row>
    <row r="141" spans="1:16" ht="19" customHeight="1">
      <c r="A141" s="5" t="str">
        <f>IF(E141&lt;&gt;"", "A"&amp;UPPER(LEFT(E141, 1)) &amp; TEXT(COUNTIF($E$3:E141, E141), "0000"), "")</f>
        <v>AQ0059</v>
      </c>
      <c r="B141" s="5" t="s">
        <v>530</v>
      </c>
      <c r="C141" s="5" t="s">
        <v>529</v>
      </c>
      <c r="D141" s="5" t="s">
        <v>531</v>
      </c>
      <c r="E141" s="5" t="s">
        <v>41</v>
      </c>
      <c r="F141" s="5" t="s">
        <v>296</v>
      </c>
      <c r="G141" s="5"/>
      <c r="H141" s="5" t="s">
        <v>235</v>
      </c>
      <c r="I141" s="5"/>
      <c r="J141" s="5"/>
      <c r="K141" s="5"/>
      <c r="L141" s="5"/>
      <c r="M141" s="5"/>
      <c r="N141" s="7" t="str">
        <f t="shared" si="2"/>
        <v>AQ0059 LGS-100</v>
      </c>
      <c r="O141" s="10" t="s">
        <v>532</v>
      </c>
      <c r="P141" s="5"/>
    </row>
    <row r="142" spans="1:16" ht="19" customHeight="1">
      <c r="A142" s="5" t="str">
        <f>IF(E142&lt;&gt;"", "A"&amp;UPPER(LEFT(E142, 1)) &amp; TEXT(COUNTIF($E$3:E142, E142), "0000"), "")</f>
        <v>AQ0060</v>
      </c>
      <c r="B142" s="5" t="s">
        <v>68</v>
      </c>
      <c r="C142" s="5" t="s">
        <v>533</v>
      </c>
      <c r="D142" s="5" t="s">
        <v>534</v>
      </c>
      <c r="E142" s="5" t="s">
        <v>41</v>
      </c>
      <c r="F142" s="5" t="s">
        <v>20</v>
      </c>
      <c r="G142" s="5" t="s">
        <v>68</v>
      </c>
      <c r="H142" s="5" t="s">
        <v>21</v>
      </c>
      <c r="I142" s="5"/>
      <c r="J142" s="5"/>
      <c r="K142" s="5"/>
      <c r="L142" s="5"/>
      <c r="M142" s="5"/>
      <c r="N142" s="7" t="str">
        <f t="shared" si="2"/>
        <v>AQ0060 El Aouj Project in Mauritania</v>
      </c>
      <c r="O142" s="10" t="s">
        <v>535</v>
      </c>
      <c r="P142" s="5"/>
    </row>
    <row r="143" spans="1:16" ht="19" customHeight="1">
      <c r="A143" s="5" t="str">
        <f>IF(E143&lt;&gt;"", "A"&amp;UPPER(LEFT(E143, 1)) &amp; TEXT(COUNTIF($E$3:E143, E143), "0000"), "")</f>
        <v>AT0046</v>
      </c>
      <c r="B143" s="5" t="s">
        <v>536</v>
      </c>
      <c r="C143" s="5" t="s">
        <v>537</v>
      </c>
      <c r="D143" s="5" t="s">
        <v>456</v>
      </c>
      <c r="E143" s="5" t="s">
        <v>19</v>
      </c>
      <c r="F143" s="5" t="s">
        <v>538</v>
      </c>
      <c r="G143" s="5"/>
      <c r="H143" s="5" t="s">
        <v>235</v>
      </c>
      <c r="I143" s="5"/>
      <c r="J143" s="5"/>
      <c r="K143" s="5"/>
      <c r="L143" s="5"/>
      <c r="M143" s="5"/>
      <c r="N143" s="7" t="str">
        <f t="shared" si="2"/>
        <v>AT0046 Metallurgical Testworks</v>
      </c>
      <c r="O143" s="10" t="s">
        <v>539</v>
      </c>
      <c r="P143" s="5"/>
    </row>
    <row r="144" spans="1:16" ht="19" customHeight="1">
      <c r="A144" s="5" t="str">
        <f>IF(E144&lt;&gt;"", "A"&amp;UPPER(LEFT(E144, 1)) &amp; TEXT(COUNTIF($E$3:E144, E144), "0000"), "")</f>
        <v>AT0047</v>
      </c>
      <c r="B144" s="5" t="s">
        <v>526</v>
      </c>
      <c r="C144" s="5" t="s">
        <v>527</v>
      </c>
      <c r="D144" s="5" t="s">
        <v>443</v>
      </c>
      <c r="E144" s="5" t="s">
        <v>19</v>
      </c>
      <c r="F144" s="5" t="s">
        <v>20</v>
      </c>
      <c r="G144" s="5"/>
      <c r="H144" s="5" t="s">
        <v>235</v>
      </c>
      <c r="I144" s="5"/>
      <c r="J144" s="5"/>
      <c r="K144" s="5"/>
      <c r="L144" s="5"/>
      <c r="M144" s="5"/>
      <c r="N144" s="7" t="str">
        <f t="shared" si="2"/>
        <v>AT0047 Magnetic Separation Testwork</v>
      </c>
      <c r="O144" s="10" t="s">
        <v>540</v>
      </c>
      <c r="P144" s="5"/>
    </row>
    <row r="145" spans="1:16" ht="19" customHeight="1">
      <c r="A145" s="5" t="str">
        <f>IF(E145&lt;&gt;"", "A"&amp;UPPER(LEFT(E145, 1)) &amp; TEXT(COUNTIF($E$3:E145, E145), "0000"), "")</f>
        <v>AQ0061</v>
      </c>
      <c r="B145" s="5" t="s">
        <v>541</v>
      </c>
      <c r="C145" s="5" t="s">
        <v>542</v>
      </c>
      <c r="D145" s="5" t="s">
        <v>544</v>
      </c>
      <c r="E145" s="5" t="s">
        <v>41</v>
      </c>
      <c r="F145" s="5" t="s">
        <v>355</v>
      </c>
      <c r="G145" s="5" t="s">
        <v>543</v>
      </c>
      <c r="H145" s="5" t="s">
        <v>234</v>
      </c>
      <c r="I145" s="5"/>
      <c r="J145" s="5"/>
      <c r="K145" s="5"/>
      <c r="L145" s="5"/>
      <c r="M145" s="5"/>
      <c r="N145" s="7" t="str">
        <f t="shared" si="2"/>
        <v>AQ0061 LIMS(IHC JN561)</v>
      </c>
      <c r="O145" s="10" t="s">
        <v>545</v>
      </c>
      <c r="P145" s="5"/>
    </row>
    <row r="146" spans="1:16" ht="19" customHeight="1">
      <c r="A146" s="5" t="str">
        <f>IF(E146&lt;&gt;"", "A"&amp;UPPER(LEFT(E146, 1)) &amp; TEXT(COUNTIF($E$3:E146, E146), "0000"), "")</f>
        <v>AQ0062</v>
      </c>
      <c r="B146" s="5" t="s">
        <v>68</v>
      </c>
      <c r="C146" s="5" t="s">
        <v>150</v>
      </c>
      <c r="D146" s="5" t="s">
        <v>546</v>
      </c>
      <c r="E146" s="5" t="s">
        <v>41</v>
      </c>
      <c r="F146" s="5" t="s">
        <v>133</v>
      </c>
      <c r="G146" s="5"/>
      <c r="H146" s="5" t="s">
        <v>21</v>
      </c>
      <c r="I146" s="5"/>
      <c r="J146" s="5"/>
      <c r="K146" s="5"/>
      <c r="L146" s="5"/>
      <c r="M146" s="5"/>
      <c r="N146" s="7" t="str">
        <f t="shared" si="2"/>
        <v>AQ0062 Stationary Tramp Iron Magnet</v>
      </c>
      <c r="O146" s="10" t="s">
        <v>547</v>
      </c>
      <c r="P146" s="5"/>
    </row>
    <row r="147" spans="1:16" ht="19" customHeight="1">
      <c r="A147" s="5" t="str">
        <f>IF(E147&lt;&gt;"", "A"&amp;UPPER(LEFT(E147, 1)) &amp; TEXT(COUNTIF($E$3:E147, E147), "0000"), "")</f>
        <v>AS0011</v>
      </c>
      <c r="B147" s="5" t="s">
        <v>72</v>
      </c>
      <c r="C147" s="5" t="s">
        <v>73</v>
      </c>
      <c r="D147" s="5" t="s">
        <v>407</v>
      </c>
      <c r="E147" s="5" t="s">
        <v>156</v>
      </c>
      <c r="F147" s="5" t="s">
        <v>53</v>
      </c>
      <c r="G147" s="5"/>
      <c r="H147" s="5" t="s">
        <v>21</v>
      </c>
      <c r="I147" s="5"/>
      <c r="J147" s="5"/>
      <c r="K147" s="5"/>
      <c r="L147" s="5"/>
      <c r="M147" s="5"/>
      <c r="N147" s="7" t="str">
        <f t="shared" si="2"/>
        <v>AS0011 General Service</v>
      </c>
      <c r="O147" s="10" t="s">
        <v>548</v>
      </c>
      <c r="P147" s="5"/>
    </row>
    <row r="148" spans="1:16" ht="19" customHeight="1">
      <c r="A148" s="5" t="str">
        <f>IF(E148&lt;&gt;"", "A"&amp;UPPER(LEFT(E148, 1)) &amp; TEXT(COUNTIF($E$3:E148, E148), "0000"), "")</f>
        <v>AQ0063</v>
      </c>
      <c r="B148" s="5" t="s">
        <v>550</v>
      </c>
      <c r="C148" s="5" t="s">
        <v>551</v>
      </c>
      <c r="D148" s="5" t="s">
        <v>549</v>
      </c>
      <c r="E148" s="5" t="s">
        <v>41</v>
      </c>
      <c r="F148" s="5" t="s">
        <v>323</v>
      </c>
      <c r="G148" s="5" t="s">
        <v>274</v>
      </c>
      <c r="H148" s="5" t="s">
        <v>21</v>
      </c>
      <c r="I148" s="5"/>
      <c r="J148" s="5"/>
      <c r="K148" s="5"/>
      <c r="L148" s="5"/>
      <c r="M148" s="5"/>
      <c r="N148" s="7" t="str">
        <f t="shared" si="2"/>
        <v>AQ0063 Replace MSR2301 and MSR3301</v>
      </c>
      <c r="O148" s="10" t="s">
        <v>555</v>
      </c>
      <c r="P148" s="5"/>
    </row>
    <row r="149" spans="1:16" ht="19" customHeight="1">
      <c r="A149" s="5" t="str">
        <f>IF(E149&lt;&gt;"", "A"&amp;UPPER(LEFT(E149, 1)) &amp; TEXT(COUNTIF($E$3:E149, E149), "0000"), "")</f>
        <v>AQ0064</v>
      </c>
      <c r="B149" s="5" t="s">
        <v>63</v>
      </c>
      <c r="C149" s="5" t="s">
        <v>64</v>
      </c>
      <c r="D149" s="5" t="s">
        <v>556</v>
      </c>
      <c r="E149" s="5" t="s">
        <v>41</v>
      </c>
      <c r="F149" s="5" t="s">
        <v>20</v>
      </c>
      <c r="G149" s="5"/>
      <c r="H149" s="5" t="s">
        <v>234</v>
      </c>
      <c r="I149" s="5"/>
      <c r="J149" s="5"/>
      <c r="K149" s="5"/>
      <c r="L149" s="5"/>
      <c r="M149" s="5"/>
      <c r="N149" s="7" t="str">
        <f t="shared" si="2"/>
        <v>AQ0064 LJK Package For CV301</v>
      </c>
      <c r="O149" s="10" t="s">
        <v>557</v>
      </c>
      <c r="P149" s="5"/>
    </row>
    <row r="150" spans="1:16" ht="19" customHeight="1">
      <c r="A150" s="5" t="str">
        <f>IF(E150&lt;&gt;"", "A"&amp;UPPER(LEFT(E150, 1)) &amp; TEXT(COUNTIF($E$3:E150, E150), "0000"), "")</f>
        <v>AQ0065</v>
      </c>
      <c r="B150" s="5" t="s">
        <v>63</v>
      </c>
      <c r="C150" s="5" t="s">
        <v>136</v>
      </c>
      <c r="D150" s="5" t="s">
        <v>558</v>
      </c>
      <c r="E150" s="5" t="s">
        <v>41</v>
      </c>
      <c r="F150" s="5" t="s">
        <v>296</v>
      </c>
      <c r="G150" s="5"/>
      <c r="H150" s="5" t="s">
        <v>234</v>
      </c>
      <c r="I150" s="5"/>
      <c r="J150" s="5"/>
      <c r="K150" s="5"/>
      <c r="L150" s="5"/>
      <c r="M150" s="5"/>
      <c r="N150" s="7" t="str">
        <f t="shared" si="2"/>
        <v>AQ0065 Green Steel Pilot Plant</v>
      </c>
      <c r="O150" s="10" t="s">
        <v>559</v>
      </c>
      <c r="P150" s="5"/>
    </row>
    <row r="151" spans="1:16" ht="19" customHeight="1">
      <c r="A151" s="5" t="str">
        <f>IF(E151&lt;&gt;"", "A"&amp;UPPER(LEFT(E151, 1)) &amp; TEXT(COUNTIF($E$3:E151, E151), "0000"), "")</f>
        <v>AC0023</v>
      </c>
      <c r="B151" s="5" t="s">
        <v>560</v>
      </c>
      <c r="C151" s="5" t="s">
        <v>561</v>
      </c>
      <c r="D151" s="5" t="s">
        <v>25</v>
      </c>
      <c r="E151" s="5" t="s">
        <v>26</v>
      </c>
      <c r="F151" s="5" t="s">
        <v>358</v>
      </c>
      <c r="G151" s="5" t="s">
        <v>274</v>
      </c>
      <c r="H151" s="5" t="s">
        <v>21</v>
      </c>
      <c r="I151" s="5"/>
      <c r="J151" s="5" t="s">
        <v>570</v>
      </c>
      <c r="K151" s="5"/>
      <c r="L151" s="5"/>
      <c r="M151" s="5"/>
      <c r="N151" s="7" t="str">
        <f t="shared" si="2"/>
        <v>AC0023 General Inquiry</v>
      </c>
      <c r="O151" s="10" t="s">
        <v>576</v>
      </c>
      <c r="P151" s="5"/>
    </row>
    <row r="152" spans="1:16" ht="19" customHeight="1">
      <c r="A152" s="5" t="str">
        <f>IF(E152&lt;&gt;"", "A"&amp;UPPER(LEFT(E152, 1)) &amp; TEXT(COUNTIF($E$3:E152, E152), "0000"), "")</f>
        <v>AQ0066</v>
      </c>
      <c r="B152" s="5" t="s">
        <v>562</v>
      </c>
      <c r="C152" s="5" t="s">
        <v>572</v>
      </c>
      <c r="D152" s="5" t="s">
        <v>573</v>
      </c>
      <c r="E152" s="5" t="s">
        <v>41</v>
      </c>
      <c r="F152" s="5" t="s">
        <v>323</v>
      </c>
      <c r="G152" s="5" t="s">
        <v>274</v>
      </c>
      <c r="H152" s="5" t="s">
        <v>21</v>
      </c>
      <c r="I152" s="5"/>
      <c r="J152" s="5" t="s">
        <v>570</v>
      </c>
      <c r="K152" s="5"/>
      <c r="L152" s="5"/>
      <c r="M152" s="5"/>
      <c r="N152" s="7" t="str">
        <f t="shared" si="2"/>
        <v xml:space="preserve">AQ0066 HMDS Drum </v>
      </c>
      <c r="O152" s="10" t="s">
        <v>577</v>
      </c>
      <c r="P152" s="5"/>
    </row>
    <row r="153" spans="1:16" ht="19" customHeight="1">
      <c r="A153" s="5" t="str">
        <f>IF(E153&lt;&gt;"", "A"&amp;UPPER(LEFT(E153, 1)) &amp; TEXT(COUNTIF($E$3:E153, E153), "0000"), "")</f>
        <v>AQ0067</v>
      </c>
      <c r="B153" s="5" t="s">
        <v>564</v>
      </c>
      <c r="C153" s="5" t="s">
        <v>565</v>
      </c>
      <c r="D153" s="5" t="s">
        <v>574</v>
      </c>
      <c r="E153" s="5" t="s">
        <v>41</v>
      </c>
      <c r="F153" s="5" t="s">
        <v>568</v>
      </c>
      <c r="G153" s="5" t="s">
        <v>274</v>
      </c>
      <c r="H153" s="5" t="s">
        <v>21</v>
      </c>
      <c r="I153" s="5"/>
      <c r="J153" s="5" t="s">
        <v>570</v>
      </c>
      <c r="K153" s="5"/>
      <c r="L153" s="5"/>
      <c r="M153" s="5"/>
      <c r="N153" s="7" t="str">
        <f>A153&amp;" "&amp;D153</f>
        <v>AQ0067  Process Plant Reinstatement Project</v>
      </c>
      <c r="O153" s="10" t="s">
        <v>579</v>
      </c>
      <c r="P153" s="5"/>
    </row>
    <row r="154" spans="1:16" ht="19" customHeight="1">
      <c r="A154" s="5" t="str">
        <f>IF(E154&lt;&gt;"", "A"&amp;UPPER(LEFT(E154, 1)) &amp; TEXT(COUNTIF($E$3:E154, E154), "0000"), "")</f>
        <v>AQ0068</v>
      </c>
      <c r="B154" s="5" t="s">
        <v>566</v>
      </c>
      <c r="C154" s="5" t="s">
        <v>567</v>
      </c>
      <c r="D154" s="5" t="s">
        <v>575</v>
      </c>
      <c r="E154" s="5" t="s">
        <v>41</v>
      </c>
      <c r="F154" s="5" t="s">
        <v>53</v>
      </c>
      <c r="G154" s="5" t="s">
        <v>569</v>
      </c>
      <c r="H154" s="5" t="s">
        <v>21</v>
      </c>
      <c r="I154" s="5"/>
      <c r="J154" s="5" t="s">
        <v>571</v>
      </c>
      <c r="K154" s="5"/>
      <c r="L154" s="5"/>
      <c r="M154" s="5"/>
      <c r="N154" s="7" t="str">
        <f t="shared" si="2"/>
        <v>AQ0068 Yinnetharra Project PFS-LIMS</v>
      </c>
      <c r="O154" s="10" t="s">
        <v>578</v>
      </c>
      <c r="P154" s="5"/>
    </row>
    <row r="155" spans="1:16" ht="19" customHeight="1">
      <c r="A155" s="5" t="str">
        <f>IF(E155&lt;&gt;"", "A"&amp;UPPER(LEFT(E155, 1)) &amp; TEXT(COUNTIF($E$3:E155, E155), "0000"), "")</f>
        <v>AQ0069</v>
      </c>
      <c r="B155" s="5" t="s">
        <v>23</v>
      </c>
      <c r="C155" s="5" t="s">
        <v>24</v>
      </c>
      <c r="D155" s="5" t="s">
        <v>593</v>
      </c>
      <c r="E155" s="5" t="s">
        <v>41</v>
      </c>
      <c r="F155" s="5" t="s">
        <v>20</v>
      </c>
      <c r="G155" s="5"/>
      <c r="H155" s="5" t="s">
        <v>234</v>
      </c>
      <c r="I155" s="5"/>
      <c r="J155" s="5"/>
      <c r="K155" s="5"/>
      <c r="L155" s="5"/>
      <c r="M155" s="5"/>
      <c r="N155" s="7" t="str">
        <f t="shared" si="2"/>
        <v>AQ0069 DIMS LJK Tramp Magnet Package</v>
      </c>
      <c r="O155" s="10" t="s">
        <v>595</v>
      </c>
      <c r="P155" s="5"/>
    </row>
    <row r="156" spans="1:16" ht="19" customHeight="1">
      <c r="A156" s="5" t="str">
        <f>IF(E156&lt;&gt;"", "A"&amp;UPPER(LEFT(E156, 1)) &amp; TEXT(COUNTIF($E$3:E156, E156), "0000"), "")</f>
        <v>AC0024</v>
      </c>
      <c r="B156" s="5" t="s">
        <v>23</v>
      </c>
      <c r="C156" s="5" t="s">
        <v>133</v>
      </c>
      <c r="D156" s="5" t="s">
        <v>594</v>
      </c>
      <c r="E156" s="5" t="s">
        <v>26</v>
      </c>
      <c r="F156" s="5" t="s">
        <v>133</v>
      </c>
      <c r="G156" s="5"/>
      <c r="H156" s="5" t="s">
        <v>27</v>
      </c>
      <c r="I156" s="5"/>
      <c r="J156" s="5"/>
      <c r="K156" s="5"/>
      <c r="L156" s="5"/>
      <c r="M156" s="5"/>
      <c r="N156" s="7" t="str">
        <f t="shared" si="2"/>
        <v>AC0024 Tails Recovery Project</v>
      </c>
      <c r="O156" s="10" t="s">
        <v>596</v>
      </c>
      <c r="P156" s="5"/>
    </row>
    <row r="157" spans="1:16" ht="19" customHeight="1">
      <c r="A157" s="5" t="str">
        <f>IF(E157&lt;&gt;"", "A"&amp;UPPER(LEFT(E157, 1)) &amp; TEXT(COUNTIF($E$3:E157, E157), "0000"), "")</f>
        <v>AQ0070</v>
      </c>
      <c r="B157" s="5" t="s">
        <v>597</v>
      </c>
      <c r="C157" s="5" t="s">
        <v>598</v>
      </c>
      <c r="D157" s="5" t="s">
        <v>601</v>
      </c>
      <c r="E157" s="5" t="s">
        <v>41</v>
      </c>
      <c r="F157" s="5" t="s">
        <v>47</v>
      </c>
      <c r="G157" s="5"/>
      <c r="H157" s="5" t="s">
        <v>27</v>
      </c>
      <c r="I157" s="5"/>
      <c r="J157" s="5" t="s">
        <v>602</v>
      </c>
      <c r="K157" s="5"/>
      <c r="L157" s="5"/>
      <c r="M157" s="5"/>
      <c r="N157" s="7" t="str">
        <f t="shared" si="2"/>
        <v>AQ0070 Heavy Rare Earth Project  HGMS (CP085)</v>
      </c>
      <c r="O157" s="10" t="s">
        <v>603</v>
      </c>
      <c r="P157" s="5"/>
    </row>
    <row r="158" spans="1:16" ht="19" customHeight="1">
      <c r="A158" s="5" t="str">
        <f>IF(E158&lt;&gt;"", "A"&amp;UPPER(LEFT(E158, 1)) &amp; TEXT(COUNTIF($E$3:E158, E158), "0000"), "")</f>
        <v>AQ0071</v>
      </c>
      <c r="B158" s="5" t="s">
        <v>604</v>
      </c>
      <c r="C158" s="5" t="s">
        <v>605</v>
      </c>
      <c r="D158" s="5" t="s">
        <v>606</v>
      </c>
      <c r="E158" s="5" t="s">
        <v>41</v>
      </c>
      <c r="F158" s="5" t="s">
        <v>605</v>
      </c>
      <c r="G158" s="5" t="s">
        <v>274</v>
      </c>
      <c r="H158" s="5" t="s">
        <v>21</v>
      </c>
      <c r="I158" s="5"/>
      <c r="J158" s="5" t="s">
        <v>607</v>
      </c>
      <c r="K158" s="5" t="s">
        <v>608</v>
      </c>
      <c r="L158" s="5"/>
      <c r="M158" s="5"/>
      <c r="N158" s="7" t="str">
        <f t="shared" si="2"/>
        <v>AQ0071 Static Magnet</v>
      </c>
      <c r="O158" s="10" t="s">
        <v>612</v>
      </c>
      <c r="P158" s="5"/>
    </row>
    <row r="159" spans="1:16" ht="19" customHeight="1">
      <c r="A159" s="5" t="str">
        <f>IF(E159&lt;&gt;"", "A"&amp;UPPER(LEFT(E159, 1)) &amp; TEXT(COUNTIF($E$3:E159, E159), "0000"), "")</f>
        <v>AQ0072</v>
      </c>
      <c r="B159" s="5" t="s">
        <v>72</v>
      </c>
      <c r="C159" s="5" t="s">
        <v>73</v>
      </c>
      <c r="D159" s="5" t="s">
        <v>609</v>
      </c>
      <c r="E159" s="5" t="s">
        <v>41</v>
      </c>
      <c r="F159" s="5" t="s">
        <v>53</v>
      </c>
      <c r="G159" s="5"/>
      <c r="H159" s="5" t="s">
        <v>21</v>
      </c>
      <c r="I159" s="5"/>
      <c r="J159" t="s">
        <v>608</v>
      </c>
      <c r="K159" s="5" t="s">
        <v>610</v>
      </c>
      <c r="L159" s="5"/>
      <c r="M159" s="5"/>
      <c r="N159" s="7" t="str">
        <f t="shared" si="2"/>
        <v>AQ0072 CGP3 spares</v>
      </c>
      <c r="O159" s="10" t="s">
        <v>611</v>
      </c>
      <c r="P159" s="5"/>
    </row>
    <row r="160" spans="1:16" ht="19" customHeight="1">
      <c r="A160" s="5" t="str">
        <f>IF(E160&lt;&gt;"", "A"&amp;UPPER(LEFT(E160, 1)) &amp; TEXT(COUNTIF($E$3:E160, E160), "0000"), "")</f>
        <v>AQ0073</v>
      </c>
      <c r="B160" s="5" t="s">
        <v>262</v>
      </c>
      <c r="C160" s="5" t="s">
        <v>263</v>
      </c>
      <c r="D160" s="5" t="s">
        <v>614</v>
      </c>
      <c r="E160" s="5" t="s">
        <v>41</v>
      </c>
      <c r="F160" s="5" t="s">
        <v>53</v>
      </c>
      <c r="G160" s="5" t="s">
        <v>258</v>
      </c>
      <c r="H160" s="5" t="s">
        <v>21</v>
      </c>
      <c r="I160" s="5"/>
      <c r="J160" s="5" t="s">
        <v>615</v>
      </c>
      <c r="K160" s="5" t="s">
        <v>616</v>
      </c>
      <c r="L160" s="5"/>
      <c r="M160" s="5"/>
      <c r="N160" s="7" t="str">
        <f t="shared" si="2"/>
        <v>AQ0073 B069-D02-07280-RQ-0001(WHIMS &amp; LIMS)</v>
      </c>
      <c r="O160" s="10" t="s">
        <v>617</v>
      </c>
      <c r="P160" s="5"/>
    </row>
    <row r="161" spans="1:16" ht="19" customHeight="1">
      <c r="A161" s="5" t="str">
        <f>IF(E161&lt;&gt;"", "A"&amp;UPPER(LEFT(E161, 1)) &amp; TEXT(COUNTIF($E$3:E161, E161), "0000"), "")</f>
        <v>AQ0074</v>
      </c>
      <c r="B161" s="5" t="s">
        <v>68</v>
      </c>
      <c r="C161" s="5" t="s">
        <v>533</v>
      </c>
      <c r="D161" s="5" t="s">
        <v>619</v>
      </c>
      <c r="E161" s="5" t="s">
        <v>41</v>
      </c>
      <c r="F161" s="5" t="s">
        <v>20</v>
      </c>
      <c r="G161" s="5"/>
      <c r="H161" s="5" t="s">
        <v>234</v>
      </c>
      <c r="I161" s="5"/>
      <c r="J161" s="5"/>
      <c r="K161" s="5"/>
      <c r="L161" s="5"/>
      <c r="M161" s="5"/>
      <c r="N161" s="7" t="str">
        <f t="shared" si="2"/>
        <v xml:space="preserve">AQ0074 El Aouj Project LJK </v>
      </c>
      <c r="O161" s="10" t="s">
        <v>627</v>
      </c>
      <c r="P161" s="5"/>
    </row>
    <row r="162" spans="1:16" ht="19" customHeight="1">
      <c r="A162" s="5" t="str">
        <f>IF(E162&lt;&gt;"", "A"&amp;UPPER(LEFT(E162, 1)) &amp; TEXT(COUNTIF($E$3:E162, E162), "0000"), "")</f>
        <v>AC0025</v>
      </c>
      <c r="B162" s="5" t="s">
        <v>620</v>
      </c>
      <c r="C162" s="5" t="s">
        <v>621</v>
      </c>
      <c r="D162" s="5" t="s">
        <v>25</v>
      </c>
      <c r="E162" s="5" t="s">
        <v>26</v>
      </c>
      <c r="F162" s="5" t="s">
        <v>626</v>
      </c>
      <c r="G162" s="5"/>
      <c r="H162" s="5" t="s">
        <v>235</v>
      </c>
      <c r="I162" s="5"/>
      <c r="J162" s="5"/>
      <c r="K162" s="5"/>
      <c r="L162" s="5"/>
      <c r="M162" s="5"/>
      <c r="N162" s="7" t="str">
        <f t="shared" si="2"/>
        <v>AC0025 General Inquiry</v>
      </c>
      <c r="O162" s="10" t="s">
        <v>628</v>
      </c>
      <c r="P162" s="5"/>
    </row>
    <row r="163" spans="1:16" ht="19" customHeight="1">
      <c r="A163" s="5" t="str">
        <f>IF(E163&lt;&gt;"", "A"&amp;UPPER(LEFT(E163, 1)) &amp; TEXT(COUNTIF($E$3:E163, E163), "0000"), "")</f>
        <v>AC0026</v>
      </c>
      <c r="B163" s="5" t="s">
        <v>631</v>
      </c>
      <c r="C163" s="5" t="s">
        <v>630</v>
      </c>
      <c r="D163" s="5" t="s">
        <v>25</v>
      </c>
      <c r="E163" s="5" t="s">
        <v>26</v>
      </c>
      <c r="F163" s="5" t="s">
        <v>495</v>
      </c>
      <c r="G163" s="5"/>
      <c r="H163" s="5" t="s">
        <v>234</v>
      </c>
      <c r="I163" s="5"/>
      <c r="J163" s="5"/>
      <c r="K163" s="5"/>
      <c r="L163" s="5"/>
      <c r="M163" s="5"/>
      <c r="N163" s="7" t="str">
        <f t="shared" si="2"/>
        <v>AC0026 General Inquiry</v>
      </c>
      <c r="O163" s="10" t="s">
        <v>632</v>
      </c>
      <c r="P163" s="5"/>
    </row>
    <row r="164" spans="1:16" ht="19" customHeight="1">
      <c r="A164" s="5" t="str">
        <f>IF(E164&lt;&gt;"", "A"&amp;UPPER(LEFT(E164, 1)) &amp; TEXT(COUNTIF($E$3:E164, E164), "0000"), "")</f>
        <v>AT0048</v>
      </c>
      <c r="B164" s="5" t="s">
        <v>633</v>
      </c>
      <c r="C164" s="5" t="s">
        <v>634</v>
      </c>
      <c r="D164" s="5" t="s">
        <v>456</v>
      </c>
      <c r="E164" s="5" t="s">
        <v>19</v>
      </c>
      <c r="F164" s="5" t="s">
        <v>355</v>
      </c>
      <c r="G164" s="5"/>
      <c r="H164" s="5" t="s">
        <v>21</v>
      </c>
      <c r="I164" s="5"/>
      <c r="J164" s="5"/>
      <c r="K164" s="5"/>
      <c r="L164" s="5"/>
      <c r="M164" s="5"/>
      <c r="N164" s="7" t="str">
        <f t="shared" si="2"/>
        <v>AT0048 Metallurgical Testworks</v>
      </c>
      <c r="O164" s="10" t="s">
        <v>635</v>
      </c>
      <c r="P164" s="5"/>
    </row>
    <row r="165" spans="1:16" ht="19" customHeight="1">
      <c r="A165" s="5" t="str">
        <f>IF(E165&lt;&gt;"", "A"&amp;UPPER(LEFT(E165, 1)) &amp; TEXT(COUNTIF($E$3:E165, E165), "0000"), "")</f>
        <v>AQ0075</v>
      </c>
      <c r="B165" s="5" t="s">
        <v>38</v>
      </c>
      <c r="C165" s="5" t="s">
        <v>39</v>
      </c>
      <c r="D165" s="5" t="s">
        <v>636</v>
      </c>
      <c r="E165" s="5" t="s">
        <v>41</v>
      </c>
      <c r="F165" s="5" t="s">
        <v>20</v>
      </c>
      <c r="G165" s="5"/>
      <c r="H165" s="5" t="s">
        <v>234</v>
      </c>
      <c r="I165" s="5"/>
      <c r="J165" s="5"/>
      <c r="K165" s="5"/>
      <c r="L165" s="5"/>
      <c r="M165" s="5"/>
      <c r="N165" s="7" t="str">
        <f t="shared" si="2"/>
        <v>AQ0075 LJC300 Modelar Plant Trial</v>
      </c>
      <c r="O165" s="10" t="s">
        <v>637</v>
      </c>
      <c r="P165" s="5"/>
    </row>
    <row r="166" spans="1:16" ht="19" customHeight="1">
      <c r="A166" s="5" t="str">
        <f>IF(E166&lt;&gt;"", "A"&amp;UPPER(LEFT(E166, 1)) &amp; TEXT(COUNTIF($E$3:E166, E166), "0000"), "")</f>
        <v>AQ0076</v>
      </c>
      <c r="B166" s="5" t="s">
        <v>641</v>
      </c>
      <c r="C166" s="5" t="s">
        <v>638</v>
      </c>
      <c r="D166" s="5" t="s">
        <v>642</v>
      </c>
      <c r="E166" s="5" t="s">
        <v>41</v>
      </c>
      <c r="F166" s="5" t="s">
        <v>643</v>
      </c>
      <c r="G166" s="5" t="s">
        <v>48</v>
      </c>
      <c r="H166" s="5" t="s">
        <v>27</v>
      </c>
      <c r="I166" s="5"/>
      <c r="J166" s="5"/>
      <c r="K166" s="5"/>
      <c r="L166" s="5"/>
      <c r="M166" s="5"/>
      <c r="N166" s="7" t="str">
        <f t="shared" si="2"/>
        <v>AQ0076 Low capacity LIMS units</v>
      </c>
      <c r="O166" s="10" t="s">
        <v>644</v>
      </c>
      <c r="P166" s="5"/>
    </row>
    <row r="167" spans="1:16" ht="19" customHeight="1">
      <c r="A167" s="5" t="str">
        <f>IF(E167&lt;&gt;"", "A"&amp;UPPER(LEFT(E167, 1)) &amp; TEXT(COUNTIF($E$3:E167, E167), "0000"), "")</f>
        <v>AT0049</v>
      </c>
      <c r="B167" s="5" t="s">
        <v>639</v>
      </c>
      <c r="C167" s="5" t="s">
        <v>640</v>
      </c>
      <c r="D167" s="5" t="s">
        <v>645</v>
      </c>
      <c r="E167" s="5" t="s">
        <v>19</v>
      </c>
      <c r="F167" s="5" t="s">
        <v>47</v>
      </c>
      <c r="G167" s="5"/>
      <c r="H167" s="5" t="s">
        <v>27</v>
      </c>
      <c r="I167" s="5"/>
      <c r="J167" s="5"/>
      <c r="K167" s="5"/>
      <c r="L167" s="5"/>
      <c r="M167" s="5"/>
      <c r="N167" s="7" t="str">
        <f t="shared" si="2"/>
        <v>AT0049 Tailing sample MS test</v>
      </c>
      <c r="O167" s="10" t="s">
        <v>646</v>
      </c>
      <c r="P167" s="5"/>
    </row>
    <row r="168" spans="1:16" ht="19" customHeight="1">
      <c r="A168" s="5" t="str">
        <f>IF(E168&lt;&gt;"", "A"&amp;UPPER(LEFT(E168, 1)) &amp; TEXT(COUNTIF($E$3:E168, E168), "0000"), "")</f>
        <v>AT0050</v>
      </c>
      <c r="B168" s="5" t="s">
        <v>647</v>
      </c>
      <c r="C168" s="5" t="s">
        <v>648</v>
      </c>
      <c r="D168" s="5" t="s">
        <v>650</v>
      </c>
      <c r="E168" s="5" t="s">
        <v>19</v>
      </c>
      <c r="F168" s="5" t="s">
        <v>20</v>
      </c>
      <c r="G168" s="5" t="s">
        <v>649</v>
      </c>
      <c r="H168" s="5" t="s">
        <v>234</v>
      </c>
      <c r="I168" s="5"/>
      <c r="J168" s="5"/>
      <c r="K168" s="5"/>
      <c r="L168" s="5"/>
      <c r="M168" s="5"/>
      <c r="N168" s="7" t="str">
        <f t="shared" si="2"/>
        <v>AT0050 HAWSONS Dry Mag Separation</v>
      </c>
      <c r="O168" s="10" t="s">
        <v>651</v>
      </c>
      <c r="P168" s="5"/>
    </row>
    <row r="169" spans="1:16" ht="19" customHeight="1">
      <c r="A169" s="5" t="str">
        <f>IF(E169&lt;&gt;"", "A"&amp;UPPER(LEFT(E169, 1)) &amp; TEXT(COUNTIF($E$3:E169, E169), "0000"), "")</f>
        <v>AT0051</v>
      </c>
      <c r="B169" s="5" t="s">
        <v>63</v>
      </c>
      <c r="C169" s="5" t="s">
        <v>653</v>
      </c>
      <c r="D169" s="5" t="s">
        <v>652</v>
      </c>
      <c r="E169" s="5" t="s">
        <v>19</v>
      </c>
      <c r="F169" s="5" t="s">
        <v>133</v>
      </c>
      <c r="G169" s="5"/>
      <c r="H169" s="5" t="s">
        <v>234</v>
      </c>
      <c r="I169" s="5"/>
      <c r="J169" s="5"/>
      <c r="K169" s="5"/>
      <c r="L169" s="5"/>
      <c r="M169" s="5"/>
      <c r="N169" s="7" t="str">
        <f>A169&amp;" "&amp;D169</f>
        <v>AT0051 Hematite Dry Mag Sep</v>
      </c>
      <c r="O169" s="10" t="s">
        <v>654</v>
      </c>
      <c r="P169" s="5"/>
    </row>
    <row r="170" spans="1:16" ht="19" customHeight="1">
      <c r="A170" s="5" t="str">
        <f>IF(E170&lt;&gt;"", "A"&amp;UPPER(LEFT(E170, 1)) &amp; TEXT(COUNTIF($E$3:E170, E170), "0000"), "")</f>
        <v>AT0052</v>
      </c>
      <c r="B170" s="5" t="s">
        <v>631</v>
      </c>
      <c r="C170" s="5" t="s">
        <v>630</v>
      </c>
      <c r="D170" s="5" t="s">
        <v>436</v>
      </c>
      <c r="E170" s="5" t="s">
        <v>19</v>
      </c>
      <c r="F170" s="5" t="s">
        <v>495</v>
      </c>
      <c r="G170" s="5"/>
      <c r="H170" s="5" t="s">
        <v>235</v>
      </c>
      <c r="I170" s="5"/>
      <c r="J170" s="5"/>
      <c r="K170" s="5"/>
      <c r="L170" s="5"/>
      <c r="M170" s="5"/>
      <c r="N170" s="7" t="str">
        <f t="shared" si="2"/>
        <v>AT0052 Dry Magnetic Separation Testwork</v>
      </c>
      <c r="O170" s="10" t="s">
        <v>658</v>
      </c>
      <c r="P170" s="5"/>
    </row>
    <row r="171" spans="1:16" ht="19" customHeight="1">
      <c r="A171" s="5" t="str">
        <f>IF(E171&lt;&gt;"", "A"&amp;UPPER(LEFT(E171, 1)) &amp; TEXT(COUNTIF($E$3:E171, E171), "0000"), "")</f>
        <v>AS0012</v>
      </c>
      <c r="B171" s="5" t="s">
        <v>659</v>
      </c>
      <c r="C171" s="5" t="s">
        <v>184</v>
      </c>
      <c r="D171" s="5" t="s">
        <v>400</v>
      </c>
      <c r="E171" s="5" t="s">
        <v>156</v>
      </c>
      <c r="F171" s="5" t="s">
        <v>495</v>
      </c>
      <c r="G171" s="5"/>
      <c r="H171" s="5" t="s">
        <v>288</v>
      </c>
      <c r="I171" s="5"/>
      <c r="J171" s="5"/>
      <c r="K171" s="5"/>
      <c r="L171" s="5"/>
      <c r="M171" s="5"/>
      <c r="N171" s="7" t="str">
        <f t="shared" si="2"/>
        <v>AS0012 LCGJ DMS</v>
      </c>
      <c r="O171" s="10" t="s">
        <v>660</v>
      </c>
      <c r="P171" s="5"/>
    </row>
    <row r="172" spans="1:16" ht="19" customHeight="1">
      <c r="A172" s="5" t="str">
        <f>IF(E172&lt;&gt;"", "A"&amp;UPPER(LEFT(E172, 1)) &amp; TEXT(COUNTIF($E$3:E172, E172), "0000"), "")</f>
        <v>AT0053</v>
      </c>
      <c r="B172" s="5" t="s">
        <v>661</v>
      </c>
      <c r="C172" s="5" t="s">
        <v>662</v>
      </c>
      <c r="D172" s="5" t="s">
        <v>663</v>
      </c>
      <c r="E172" s="5" t="s">
        <v>19</v>
      </c>
      <c r="F172" s="5" t="s">
        <v>626</v>
      </c>
      <c r="G172" s="5" t="s">
        <v>664</v>
      </c>
      <c r="H172" s="5" t="s">
        <v>234</v>
      </c>
      <c r="I172" s="5"/>
      <c r="J172" s="5"/>
      <c r="K172" s="5"/>
      <c r="L172" s="5"/>
      <c r="M172" s="5"/>
      <c r="N172" s="7" t="str">
        <f t="shared" si="2"/>
        <v>AT0053 Tungsten WHIMS  Testwork</v>
      </c>
      <c r="O172" s="10" t="s">
        <v>665</v>
      </c>
      <c r="P172" s="5"/>
    </row>
    <row r="173" spans="1:16" ht="19" customHeight="1">
      <c r="A173" s="5" t="str">
        <f>IF(E173&lt;&gt;"", "A"&amp;UPPER(LEFT(E173, 1)) &amp; TEXT(COUNTIF($E$3:E173, E173), "0000"), "")</f>
        <v>AQ0077</v>
      </c>
      <c r="B173" s="5" t="s">
        <v>427</v>
      </c>
      <c r="C173" s="5" t="s">
        <v>428</v>
      </c>
      <c r="D173" s="5" t="s">
        <v>666</v>
      </c>
      <c r="E173" s="5" t="s">
        <v>41</v>
      </c>
      <c r="F173" s="5" t="s">
        <v>133</v>
      </c>
      <c r="G173" s="5"/>
      <c r="H173" s="5" t="s">
        <v>234</v>
      </c>
      <c r="I173" s="5"/>
      <c r="J173" s="5"/>
      <c r="K173" s="5"/>
      <c r="L173" s="5"/>
      <c r="M173" s="5"/>
      <c r="N173" s="7" t="str">
        <f t="shared" si="2"/>
        <v>AQ0077 High Strength Dry Mag Separation Mod Plant</v>
      </c>
      <c r="O173" s="10" t="s">
        <v>673</v>
      </c>
      <c r="P173" s="5"/>
    </row>
    <row r="174" spans="1:16" ht="19" customHeight="1">
      <c r="A174" s="5" t="str">
        <f>IF(E174&lt;&gt;"", "A"&amp;UPPER(LEFT(E174, 1)) &amp; TEXT(COUNTIF($E$3:E174, E174), "0000"), "")</f>
        <v>AQ0078</v>
      </c>
      <c r="B174" s="5" t="s">
        <v>68</v>
      </c>
      <c r="C174" s="5" t="s">
        <v>155</v>
      </c>
      <c r="D174" s="5" t="s">
        <v>667</v>
      </c>
      <c r="E174" s="5" t="s">
        <v>41</v>
      </c>
      <c r="F174" s="5" t="s">
        <v>53</v>
      </c>
      <c r="G174" s="5" t="s">
        <v>668</v>
      </c>
      <c r="H174" s="5" t="s">
        <v>21</v>
      </c>
      <c r="I174" s="5"/>
      <c r="J174" s="5"/>
      <c r="K174" s="5"/>
      <c r="L174" s="5"/>
      <c r="M174" s="5"/>
      <c r="N174" s="7" t="str">
        <f t="shared" si="2"/>
        <v>AQ0078 HDMS Drum Assembly</v>
      </c>
      <c r="O174" s="10" t="s">
        <v>675</v>
      </c>
      <c r="P174" s="5"/>
    </row>
    <row r="175" spans="1:16" ht="19" customHeight="1">
      <c r="A175" s="5" t="str">
        <f>IF(E175&lt;&gt;"", "A"&amp;UPPER(LEFT(E175, 1)) &amp; TEXT(COUNTIF($E$3:E175, E175), "0000"), "")</f>
        <v>AT0054</v>
      </c>
      <c r="B175" s="5" t="s">
        <v>669</v>
      </c>
      <c r="C175" s="5" t="s">
        <v>670</v>
      </c>
      <c r="D175" s="5" t="s">
        <v>671</v>
      </c>
      <c r="E175" s="5" t="s">
        <v>19</v>
      </c>
      <c r="F175" s="5" t="s">
        <v>358</v>
      </c>
      <c r="G175" s="5"/>
      <c r="H175" s="5" t="s">
        <v>235</v>
      </c>
      <c r="I175" s="5"/>
      <c r="J175" s="5"/>
      <c r="K175" s="5"/>
      <c r="L175" s="5"/>
      <c r="M175" s="5"/>
      <c r="N175" s="7" t="str">
        <f t="shared" si="2"/>
        <v>AT0054 Dry Eletromagnet Filter Enquiry</v>
      </c>
      <c r="O175" s="10" t="s">
        <v>676</v>
      </c>
      <c r="P175" s="5"/>
    </row>
    <row r="176" spans="1:16" ht="19" customHeight="1">
      <c r="A176" s="5" t="str">
        <f>IF(E176&lt;&gt;"", "A"&amp;UPPER(LEFT(E176, 1)) &amp; TEXT(COUNTIF($E$3:E176, E176), "0000"), "")</f>
        <v>AQ0079</v>
      </c>
      <c r="B176" s="5" t="s">
        <v>58</v>
      </c>
      <c r="C176" s="5" t="s">
        <v>297</v>
      </c>
      <c r="D176" s="5" t="s">
        <v>672</v>
      </c>
      <c r="E176" s="5" t="s">
        <v>41</v>
      </c>
      <c r="F176" s="5" t="s">
        <v>296</v>
      </c>
      <c r="G176" s="5"/>
      <c r="H176" s="5" t="s">
        <v>235</v>
      </c>
      <c r="I176" s="5"/>
      <c r="J176" s="5"/>
      <c r="K176" s="5"/>
      <c r="L176" s="5"/>
      <c r="M176" s="5"/>
      <c r="N176" s="7" t="str">
        <f>A176&amp;" "&amp;D176</f>
        <v>AQ0079 Demag-Coil</v>
      </c>
      <c r="O176" s="10" t="s">
        <v>674</v>
      </c>
      <c r="P176" s="5"/>
    </row>
    <row r="177" spans="1:16" ht="19" customHeight="1">
      <c r="A177" s="5" t="str">
        <f>IF(E177&lt;&gt;"", "A"&amp;UPPER(LEFT(E177, 1)) &amp; TEXT(COUNTIF($E$3:E177, E177), "0000"), "")</f>
        <v>AQ0080</v>
      </c>
      <c r="B177" s="5" t="s">
        <v>63</v>
      </c>
      <c r="C177" s="5" t="s">
        <v>677</v>
      </c>
      <c r="D177" s="5" t="s">
        <v>678</v>
      </c>
      <c r="E177" s="5" t="s">
        <v>41</v>
      </c>
      <c r="F177" s="5" t="s">
        <v>133</v>
      </c>
      <c r="G177" s="5"/>
      <c r="H177" s="5" t="s">
        <v>234</v>
      </c>
      <c r="I177" s="5"/>
      <c r="J177" s="5"/>
      <c r="K177" s="5"/>
      <c r="L177" s="5"/>
      <c r="M177" s="5"/>
      <c r="N177" s="7" t="str">
        <f t="shared" si="2"/>
        <v>AQ0080 Tramp Magnet and Metal Detector</v>
      </c>
      <c r="O177" s="10" t="s">
        <v>679</v>
      </c>
      <c r="P177" s="5"/>
    </row>
    <row r="178" spans="1:16" ht="19" customHeight="1">
      <c r="A178" s="5" t="str">
        <f>IF(E178&lt;&gt;"", "A"&amp;UPPER(LEFT(E178, 1)) &amp; TEXT(COUNTIF($E$3:E178, E178), "0000"), "")</f>
        <v>AT0055</v>
      </c>
      <c r="B178" s="5" t="s">
        <v>38</v>
      </c>
      <c r="C178" s="5" t="s">
        <v>39</v>
      </c>
      <c r="D178" s="5" t="s">
        <v>680</v>
      </c>
      <c r="E178" s="5" t="s">
        <v>19</v>
      </c>
      <c r="F178" s="5" t="s">
        <v>20</v>
      </c>
      <c r="G178" s="5"/>
      <c r="H178" s="5" t="s">
        <v>234</v>
      </c>
      <c r="I178" s="5"/>
      <c r="J178" s="5"/>
      <c r="K178" s="5"/>
      <c r="L178" s="5"/>
      <c r="M178" s="5"/>
      <c r="N178" s="7" t="str">
        <f t="shared" si="2"/>
        <v>AT0055 CY25 LJC Testwork</v>
      </c>
      <c r="O178" s="10" t="s">
        <v>683</v>
      </c>
      <c r="P178" s="5"/>
    </row>
    <row r="179" spans="1:16" ht="19" customHeight="1">
      <c r="A179" s="5" t="str">
        <f>IF(E179&lt;&gt;"", "A"&amp;UPPER(LEFT(E179, 1)) &amp; TEXT(COUNTIF($E$3:E179, E179), "0000"), "")</f>
        <v>AT0056</v>
      </c>
      <c r="B179" s="5" t="s">
        <v>98</v>
      </c>
      <c r="C179" s="5" t="s">
        <v>99</v>
      </c>
      <c r="D179" s="5" t="s">
        <v>681</v>
      </c>
      <c r="E179" s="5" t="s">
        <v>19</v>
      </c>
      <c r="F179" s="5" t="s">
        <v>20</v>
      </c>
      <c r="G179" s="5"/>
      <c r="H179" s="5" t="s">
        <v>235</v>
      </c>
      <c r="I179" s="5"/>
      <c r="J179" s="5"/>
      <c r="K179" s="5"/>
      <c r="L179" s="5"/>
      <c r="M179" s="5"/>
      <c r="N179" s="7" t="str">
        <f t="shared" si="2"/>
        <v>AT0056 Second batch magnetite Testowrk</v>
      </c>
      <c r="O179" s="10" t="s">
        <v>684</v>
      </c>
      <c r="P179" s="5"/>
    </row>
    <row r="180" spans="1:16" ht="19" customHeight="1">
      <c r="A180" s="5" t="str">
        <f>IF(E180&lt;&gt;"", "A"&amp;UPPER(LEFT(E180, 1)) &amp; TEXT(COUNTIF($E$3:E180, E180), "0000"), "")</f>
        <v>AT0057</v>
      </c>
      <c r="B180" s="5" t="s">
        <v>98</v>
      </c>
      <c r="C180" s="5" t="s">
        <v>453</v>
      </c>
      <c r="D180" s="5" t="s">
        <v>682</v>
      </c>
      <c r="E180" s="5" t="s">
        <v>19</v>
      </c>
      <c r="F180" s="5" t="s">
        <v>20</v>
      </c>
      <c r="G180" s="5"/>
      <c r="H180" s="5" t="s">
        <v>235</v>
      </c>
      <c r="I180" s="5"/>
      <c r="J180" s="5"/>
      <c r="K180" s="5"/>
      <c r="L180" s="5"/>
      <c r="M180" s="5"/>
      <c r="N180" s="7" t="str">
        <f t="shared" si="2"/>
        <v>AT0057 Leejun HPGR product</v>
      </c>
      <c r="O180" s="10" t="s">
        <v>685</v>
      </c>
      <c r="P180" s="5"/>
    </row>
    <row r="181" spans="1:16" ht="19" customHeight="1">
      <c r="A181" s="5" t="str">
        <f>IF(E181&lt;&gt;"", "A"&amp;UPPER(LEFT(E181, 1)) &amp; TEXT(COUNTIF($E$3:E181, E181), "0000"), "")</f>
        <v>AQ0081</v>
      </c>
      <c r="B181" s="5" t="s">
        <v>376</v>
      </c>
      <c r="C181" s="5" t="s">
        <v>378</v>
      </c>
      <c r="D181" s="5" t="s">
        <v>686</v>
      </c>
      <c r="E181" s="5" t="s">
        <v>41</v>
      </c>
      <c r="F181" s="5" t="s">
        <v>296</v>
      </c>
      <c r="G181" s="5"/>
      <c r="H181" s="5" t="s">
        <v>27</v>
      </c>
      <c r="I181" s="5"/>
      <c r="J181" s="5"/>
      <c r="K181" s="5"/>
      <c r="L181" s="5"/>
      <c r="M181" s="5"/>
      <c r="N181" s="7" t="str">
        <f t="shared" si="2"/>
        <v>AQ0081 Upgrade Tramp Magnets Assembly Binduli</v>
      </c>
      <c r="O181" s="10" t="s">
        <v>690</v>
      </c>
      <c r="P181" s="5"/>
    </row>
    <row r="182" spans="1:16" ht="19" customHeight="1">
      <c r="A182" s="5" t="str">
        <f>IF(E182&lt;&gt;"", "A"&amp;UPPER(LEFT(E182, 1)) &amp; TEXT(COUNTIF($E$3:E182, E182), "0000"), "")</f>
        <v>AQ0082</v>
      </c>
      <c r="B182" s="5" t="s">
        <v>376</v>
      </c>
      <c r="C182" s="5" t="s">
        <v>378</v>
      </c>
      <c r="D182" s="5" t="s">
        <v>687</v>
      </c>
      <c r="E182" s="5" t="s">
        <v>41</v>
      </c>
      <c r="F182" s="5" t="s">
        <v>296</v>
      </c>
      <c r="G182" s="5"/>
      <c r="H182" s="5" t="s">
        <v>27</v>
      </c>
      <c r="I182" s="5"/>
      <c r="J182" s="5"/>
      <c r="K182" s="5"/>
      <c r="L182" s="5"/>
      <c r="M182" s="5"/>
      <c r="N182" s="7" t="str">
        <f t="shared" si="2"/>
        <v>AQ0082 One-off Discount to Support MG201 Replacement</v>
      </c>
      <c r="O182" s="10" t="s">
        <v>691</v>
      </c>
      <c r="P182" s="5"/>
    </row>
    <row r="183" spans="1:16" ht="19" customHeight="1">
      <c r="A183" s="5" t="str">
        <f>IF(E183&lt;&gt;"", "A"&amp;UPPER(LEFT(E183, 1)) &amp; TEXT(COUNTIF($E$3:E183, E183), "0000"), "")</f>
        <v>AQ0083</v>
      </c>
      <c r="B183" s="5" t="s">
        <v>659</v>
      </c>
      <c r="C183" s="5" t="s">
        <v>184</v>
      </c>
      <c r="D183" s="5" t="s">
        <v>688</v>
      </c>
      <c r="E183" s="5" t="s">
        <v>41</v>
      </c>
      <c r="F183" s="5" t="s">
        <v>20</v>
      </c>
      <c r="G183" s="5"/>
      <c r="H183" s="5" t="s">
        <v>234</v>
      </c>
      <c r="I183" s="5"/>
      <c r="J183" s="5"/>
      <c r="K183" s="5"/>
      <c r="L183" s="5"/>
      <c r="M183" s="5"/>
      <c r="N183" s="7" t="str">
        <f t="shared" si="2"/>
        <v>AQ0083  DMS Replacement Unit</v>
      </c>
      <c r="O183" s="10" t="s">
        <v>692</v>
      </c>
      <c r="P183" s="5"/>
    </row>
    <row r="184" spans="1:16" ht="19" customHeight="1">
      <c r="A184" s="5" t="str">
        <f>IF(E184&lt;&gt;"", "A"&amp;UPPER(LEFT(E184, 1)) &amp; TEXT(COUNTIF($E$3:E184, E184), "0000"), "")</f>
        <v>AQ0084</v>
      </c>
      <c r="B184" s="5" t="s">
        <v>659</v>
      </c>
      <c r="C184" s="5" t="s">
        <v>184</v>
      </c>
      <c r="D184" s="5" t="s">
        <v>689</v>
      </c>
      <c r="E184" s="5" t="s">
        <v>41</v>
      </c>
      <c r="F184" s="5" t="s">
        <v>20</v>
      </c>
      <c r="G184" s="5"/>
      <c r="H184" s="5" t="s">
        <v>234</v>
      </c>
      <c r="I184" s="5"/>
      <c r="J184" s="5"/>
      <c r="K184" s="5"/>
      <c r="L184" s="5"/>
      <c r="M184" s="5"/>
      <c r="N184" s="7" t="str">
        <f t="shared" si="2"/>
        <v>AQ0084  Second DMS Modular Plant (DMS Assembly &amp; Platform)</v>
      </c>
      <c r="O184" s="10" t="s">
        <v>693</v>
      </c>
      <c r="P184" s="5"/>
    </row>
    <row r="185" spans="1:16" ht="19" customHeight="1">
      <c r="A185" s="5" t="str">
        <f>IF(E185&lt;&gt;"", "A"&amp;UPPER(LEFT(E185, 1)) &amp; TEXT(COUNTIF($E$3:E185, E185), "0000"), "")</f>
        <v>AT0058</v>
      </c>
      <c r="B185" s="5" t="s">
        <v>731</v>
      </c>
      <c r="C185" s="5" t="s">
        <v>730</v>
      </c>
      <c r="D185" s="5" t="s">
        <v>456</v>
      </c>
      <c r="E185" s="5" t="s">
        <v>19</v>
      </c>
      <c r="F185" s="5" t="s">
        <v>355</v>
      </c>
      <c r="G185" s="5"/>
      <c r="H185" s="5" t="s">
        <v>235</v>
      </c>
      <c r="I185" s="5"/>
      <c r="J185" s="5"/>
      <c r="K185" s="5"/>
      <c r="L185" s="5"/>
      <c r="M185" s="5"/>
      <c r="N185" s="7" t="str">
        <f t="shared" si="2"/>
        <v>AT0058 Metallurgical Testworks</v>
      </c>
      <c r="O185" s="10" t="s">
        <v>732</v>
      </c>
      <c r="P185" s="5"/>
    </row>
    <row r="186" spans="1:16" ht="19" customHeight="1">
      <c r="A186" s="5" t="str">
        <f>IF(E186&lt;&gt;"", "A"&amp;UPPER(LEFT(E186, 1)) &amp; TEXT(COUNTIF($E$3:E186, E186), "0000"), "")</f>
        <v>AQ0085</v>
      </c>
      <c r="B186" s="5" t="s">
        <v>734</v>
      </c>
      <c r="C186" s="5" t="s">
        <v>733</v>
      </c>
      <c r="D186" s="5" t="s">
        <v>735</v>
      </c>
      <c r="E186" s="5" t="s">
        <v>41</v>
      </c>
      <c r="F186" s="5" t="s">
        <v>296</v>
      </c>
      <c r="G186" s="5"/>
      <c r="H186" s="5" t="s">
        <v>234</v>
      </c>
      <c r="I186" s="5"/>
      <c r="J186" s="5"/>
      <c r="K186" s="5"/>
      <c r="L186" s="5"/>
      <c r="M186" s="5"/>
      <c r="N186" s="7" t="str">
        <f t="shared" si="2"/>
        <v>AQ0085 828 - Tramp Metal Magnet</v>
      </c>
      <c r="O186" s="10" t="s">
        <v>737</v>
      </c>
      <c r="P186" s="5"/>
    </row>
    <row r="187" spans="1:16" ht="19" customHeight="1">
      <c r="A187" s="5" t="str">
        <f>IF(E187&lt;&gt;"", "A"&amp;UPPER(LEFT(E187, 1)) &amp; TEXT(COUNTIF($E$3:E187, E187), "0000"), "")</f>
        <v>AQ0086</v>
      </c>
      <c r="B187" s="5" t="s">
        <v>659</v>
      </c>
      <c r="C187" s="5" t="s">
        <v>184</v>
      </c>
      <c r="D187" s="5" t="s">
        <v>739</v>
      </c>
      <c r="E187" s="5" t="s">
        <v>41</v>
      </c>
      <c r="F187" s="5" t="s">
        <v>20</v>
      </c>
      <c r="G187" s="5"/>
      <c r="H187" s="5" t="s">
        <v>234</v>
      </c>
      <c r="I187" s="5"/>
      <c r="J187" s="5"/>
      <c r="K187" s="5"/>
      <c r="L187" s="5"/>
      <c r="M187" s="5"/>
      <c r="N187" s="7" t="str">
        <f t="shared" si="2"/>
        <v>AQ0086 Dry Mag Separation Platform(batch 2)</v>
      </c>
      <c r="O187" s="10" t="s">
        <v>740</v>
      </c>
      <c r="P187" s="5"/>
    </row>
    <row r="188" spans="1:16" ht="19" customHeight="1">
      <c r="A188" s="5" t="str">
        <f>IF(E188&lt;&gt;"", "A"&amp;UPPER(LEFT(E188, 1)) &amp; TEXT(COUNTIF($E$3:E188, E188), "0000"), "")</f>
        <v>AQ0087</v>
      </c>
      <c r="B188" s="5" t="s">
        <v>58</v>
      </c>
      <c r="C188" s="5" t="s">
        <v>297</v>
      </c>
      <c r="D188" s="5" t="s">
        <v>738</v>
      </c>
      <c r="E188" s="5" t="s">
        <v>41</v>
      </c>
      <c r="F188" s="5" t="s">
        <v>296</v>
      </c>
      <c r="G188" s="5"/>
      <c r="H188" s="5" t="s">
        <v>235</v>
      </c>
      <c r="I188" s="5"/>
      <c r="J188" s="5"/>
      <c r="K188" s="5"/>
      <c r="L188" s="5"/>
      <c r="M188" s="5"/>
      <c r="N188" s="7" t="str">
        <f t="shared" si="2"/>
        <v>AQ0087 Jaw Crusher Operation Platform</v>
      </c>
      <c r="O188" s="10" t="s">
        <v>741</v>
      </c>
      <c r="P188" s="5"/>
    </row>
    <row r="189" spans="1:16" ht="19" customHeight="1">
      <c r="A189" s="5" t="str">
        <f>IF(E189&lt;&gt;"", "A"&amp;UPPER(LEFT(E189, 1)) &amp; TEXT(COUNTIF($E$3:E189, E189), "0000"), "")</f>
        <v>AQ0088</v>
      </c>
      <c r="B189" s="5" t="s">
        <v>742</v>
      </c>
      <c r="C189" s="5" t="s">
        <v>743</v>
      </c>
      <c r="D189" s="5" t="s">
        <v>744</v>
      </c>
      <c r="E189" s="5" t="s">
        <v>41</v>
      </c>
      <c r="F189" s="5" t="s">
        <v>296</v>
      </c>
      <c r="G189" s="5"/>
      <c r="H189" s="5" t="s">
        <v>234</v>
      </c>
      <c r="L189" s="5"/>
      <c r="M189" s="5"/>
      <c r="N189" s="7" t="str">
        <f t="shared" si="2"/>
        <v>AQ0088 Recycling plant RCY-C65  Belt Magnet</v>
      </c>
      <c r="O189" s="10" t="s">
        <v>745</v>
      </c>
      <c r="P189" s="5"/>
    </row>
    <row r="190" spans="1:16" ht="19" customHeight="1">
      <c r="A190" s="5" t="str">
        <f>IF(E190&lt;&gt;"", "A"&amp;UPPER(LEFT(E190, 1)) &amp; TEXT(COUNTIF($E$3:E190, E190), "0000"), "")</f>
        <v>AP0004</v>
      </c>
      <c r="B190" s="5" t="s">
        <v>72</v>
      </c>
      <c r="C190" s="5" t="s">
        <v>73</v>
      </c>
      <c r="D190" s="5" t="s">
        <v>748</v>
      </c>
      <c r="E190" s="5" t="s">
        <v>138</v>
      </c>
      <c r="F190" s="5" t="s">
        <v>53</v>
      </c>
      <c r="G190" s="5"/>
      <c r="H190" s="5" t="s">
        <v>21</v>
      </c>
      <c r="I190" s="5" t="s">
        <v>746</v>
      </c>
      <c r="J190" s="6">
        <v>45347</v>
      </c>
      <c r="K190" s="6">
        <v>45347</v>
      </c>
      <c r="L190" s="5" t="s">
        <v>747</v>
      </c>
      <c r="M190" s="5"/>
      <c r="N190" s="7" t="str">
        <f t="shared" si="2"/>
        <v>AP0004 CGP3 2025</v>
      </c>
      <c r="O190" s="10" t="s">
        <v>749</v>
      </c>
      <c r="P190" s="5"/>
    </row>
    <row r="191" spans="1:16" ht="19" customHeight="1">
      <c r="A191" s="5" t="str">
        <f>IF(E191&lt;&gt;"", "A"&amp;UPPER(LEFT(E191, 1)) &amp; TEXT(COUNTIF($E$3:E191, E191), "0000"), "")</f>
        <v>AS0013</v>
      </c>
      <c r="B191" s="5" t="s">
        <v>376</v>
      </c>
      <c r="C191" s="5" t="s">
        <v>378</v>
      </c>
      <c r="D191" s="5" t="s">
        <v>407</v>
      </c>
      <c r="E191" s="5" t="s">
        <v>156</v>
      </c>
      <c r="F191" s="5" t="s">
        <v>296</v>
      </c>
      <c r="G191" s="5"/>
      <c r="H191" s="5" t="s">
        <v>27</v>
      </c>
      <c r="I191" s="5"/>
      <c r="J191" s="5"/>
      <c r="K191" s="5"/>
      <c r="L191" s="5"/>
      <c r="M191" s="5"/>
      <c r="N191" s="7" t="str">
        <f t="shared" si="2"/>
        <v>AS0013 General Service</v>
      </c>
      <c r="O191" s="10" t="s">
        <v>750</v>
      </c>
      <c r="P191" s="5"/>
    </row>
    <row r="192" spans="1:16" ht="19" customHeight="1">
      <c r="A192" s="5" t="str">
        <f>IF(E192&lt;&gt;"", "A"&amp;UPPER(LEFT(E192, 1)) &amp; TEXT(COUNTIF($E$3:E192, E192), "0000"), "")</f>
        <v>AQ0089</v>
      </c>
      <c r="B192" s="5" t="s">
        <v>659</v>
      </c>
      <c r="C192" s="5" t="s">
        <v>184</v>
      </c>
      <c r="D192" s="5" t="s">
        <v>751</v>
      </c>
      <c r="E192" s="5" t="s">
        <v>41</v>
      </c>
      <c r="F192" s="5" t="s">
        <v>20</v>
      </c>
      <c r="G192" s="5"/>
      <c r="H192" s="5" t="s">
        <v>234</v>
      </c>
      <c r="I192" s="5"/>
      <c r="J192" s="5"/>
      <c r="K192" s="5"/>
      <c r="L192" s="5"/>
      <c r="M192" s="5"/>
      <c r="N192" s="7" t="str">
        <f t="shared" si="2"/>
        <v>AQ0089 3rd DMS Unit</v>
      </c>
      <c r="O192" s="10" t="s">
        <v>761</v>
      </c>
      <c r="P192" s="5"/>
    </row>
    <row r="193" spans="1:16" ht="19" customHeight="1">
      <c r="A193" s="5" t="str">
        <f>IF(E193&lt;&gt;"", "A"&amp;UPPER(LEFT(E193, 1)) &amp; TEXT(COUNTIF($E$3:E193, E193), "0000"), "")</f>
        <v>AQ0090</v>
      </c>
      <c r="B193" s="5" t="s">
        <v>759</v>
      </c>
      <c r="C193" s="5" t="s">
        <v>758</v>
      </c>
      <c r="D193" s="5" t="s">
        <v>760</v>
      </c>
      <c r="E193" s="5" t="s">
        <v>41</v>
      </c>
      <c r="F193" s="5" t="s">
        <v>20</v>
      </c>
      <c r="G193" s="5"/>
      <c r="H193" s="5" t="s">
        <v>27</v>
      </c>
      <c r="I193" s="5"/>
      <c r="J193" s="5"/>
      <c r="K193" s="5"/>
      <c r="L193" s="5"/>
      <c r="M193" s="5"/>
      <c r="N193" s="7" t="str">
        <f t="shared" si="2"/>
        <v>AQ0090 Iron Concentrate Desliming project</v>
      </c>
      <c r="O193" s="10" t="s">
        <v>762</v>
      </c>
      <c r="P193" s="5"/>
    </row>
    <row r="194" spans="1:16" ht="19" customHeight="1">
      <c r="A194" s="5" t="str">
        <f>IF(E194&lt;&gt;"", "A"&amp;UPPER(LEFT(E194, 1)) &amp; TEXT(COUNTIF($E$3:E194, E194), "0000"), "")</f>
        <v>AQ0091</v>
      </c>
      <c r="B194" s="5" t="s">
        <v>763</v>
      </c>
      <c r="C194" s="5" t="s">
        <v>764</v>
      </c>
      <c r="D194" s="5" t="s">
        <v>766</v>
      </c>
      <c r="E194" s="5" t="s">
        <v>41</v>
      </c>
      <c r="F194" s="5" t="s">
        <v>296</v>
      </c>
      <c r="G194" s="5" t="s">
        <v>765</v>
      </c>
      <c r="H194" s="5" t="s">
        <v>21</v>
      </c>
      <c r="I194" s="5"/>
      <c r="J194" s="5"/>
      <c r="K194" s="5"/>
      <c r="L194" s="5"/>
      <c r="M194" s="5"/>
      <c r="N194" s="7" t="str">
        <f t="shared" si="2"/>
        <v>AQ0091 Mt Gibson Gold Project Tramp Magents</v>
      </c>
      <c r="O194" s="10" t="s">
        <v>767</v>
      </c>
      <c r="P194" s="5"/>
    </row>
    <row r="195" spans="1:16" ht="19" customHeight="1">
      <c r="A195" s="5" t="str">
        <f>IF(E195&lt;&gt;"", "A"&amp;UPPER(LEFT(E195, 1)) &amp; TEXT(COUNTIF($E$3:E195, E195), "0000"), "")</f>
        <v>AC0027</v>
      </c>
      <c r="B195" s="5" t="s">
        <v>768</v>
      </c>
      <c r="C195" s="5" t="s">
        <v>769</v>
      </c>
      <c r="D195" s="5" t="s">
        <v>25</v>
      </c>
      <c r="E195" s="5" t="s">
        <v>26</v>
      </c>
      <c r="F195" s="5" t="s">
        <v>47</v>
      </c>
      <c r="G195" s="5"/>
      <c r="H195" s="5" t="s">
        <v>234</v>
      </c>
      <c r="I195" s="5"/>
      <c r="J195" s="5"/>
      <c r="K195" s="5"/>
      <c r="L195" s="5"/>
      <c r="M195" s="5"/>
      <c r="N195" s="7" t="str">
        <f t="shared" si="2"/>
        <v>AC0027 General Inquiry</v>
      </c>
      <c r="O195" s="10" t="s">
        <v>772</v>
      </c>
      <c r="P195" s="5"/>
    </row>
    <row r="196" spans="1:16" ht="19" customHeight="1">
      <c r="A196" s="5" t="str">
        <f>IF(E196&lt;&gt;"", "A"&amp;UPPER(LEFT(E196, 1)) &amp; TEXT(COUNTIF($E$3:E196, E196), "0000"), "")</f>
        <v>AC0028</v>
      </c>
      <c r="B196" s="5" t="s">
        <v>770</v>
      </c>
      <c r="C196" s="5" t="s">
        <v>771</v>
      </c>
      <c r="D196" s="5" t="s">
        <v>25</v>
      </c>
      <c r="E196" s="5" t="s">
        <v>26</v>
      </c>
      <c r="F196" s="5" t="s">
        <v>20</v>
      </c>
      <c r="G196" s="5"/>
      <c r="H196" s="5" t="s">
        <v>234</v>
      </c>
      <c r="I196" s="5"/>
      <c r="J196" s="5"/>
      <c r="K196" s="5"/>
      <c r="L196" s="5"/>
      <c r="M196" s="5"/>
      <c r="N196" s="7" t="str">
        <f t="shared" ref="N196:N218" si="3">A196&amp;" "&amp;D196</f>
        <v>AC0028 General Inquiry</v>
      </c>
      <c r="O196" s="10" t="s">
        <v>773</v>
      </c>
      <c r="P196" s="5"/>
    </row>
    <row r="197" spans="1:16" ht="19" customHeight="1">
      <c r="A197" s="5" t="str">
        <f>IF(E197&lt;&gt;"", "A"&amp;UPPER(LEFT(E197, 1)) &amp; TEXT(COUNTIF($E$3:E197, E197), "0000"), "")</f>
        <v>AQ0092</v>
      </c>
      <c r="B197" s="5" t="s">
        <v>597</v>
      </c>
      <c r="C197" s="5" t="s">
        <v>598</v>
      </c>
      <c r="D197" s="7" t="s">
        <v>776</v>
      </c>
      <c r="E197" s="5" t="s">
        <v>41</v>
      </c>
      <c r="F197" s="5" t="s">
        <v>47</v>
      </c>
      <c r="G197" s="5" t="s">
        <v>403</v>
      </c>
      <c r="H197" s="5" t="s">
        <v>27</v>
      </c>
      <c r="I197" s="5"/>
      <c r="J197" s="5"/>
      <c r="K197" s="5"/>
      <c r="L197" s="5"/>
      <c r="M197" s="5"/>
      <c r="N197" s="7" t="str">
        <f t="shared" si="3"/>
        <v>AQ0092 Wolverine Project 12874 CP004 – MAGNETS</v>
      </c>
      <c r="O197" s="10" t="s">
        <v>777</v>
      </c>
      <c r="P197" s="5"/>
    </row>
    <row r="198" spans="1:16" ht="19" customHeight="1">
      <c r="A198" s="5" t="str">
        <f>IF(E198&lt;&gt;"", "A"&amp;UPPER(LEFT(E198, 1)) &amp; TEXT(COUNTIF($E$3:E198, E198), "0000"), "")</f>
        <v>AQ0093</v>
      </c>
      <c r="B198" s="5" t="s">
        <v>94</v>
      </c>
      <c r="C198" s="5" t="s">
        <v>95</v>
      </c>
      <c r="D198" s="5" t="s">
        <v>778</v>
      </c>
      <c r="E198" s="5" t="s">
        <v>41</v>
      </c>
      <c r="F198" s="5" t="s">
        <v>96</v>
      </c>
      <c r="G198" s="5" t="s">
        <v>403</v>
      </c>
      <c r="H198" s="5" t="s">
        <v>21</v>
      </c>
      <c r="I198" s="5"/>
      <c r="J198" s="5"/>
      <c r="K198" s="5"/>
      <c r="L198" s="5"/>
      <c r="M198" s="5"/>
      <c r="N198" s="7" t="str">
        <f t="shared" si="3"/>
        <v>AQ0093 AVL CV002 Mag Sep-</v>
      </c>
      <c r="O198" s="10" t="s">
        <v>781</v>
      </c>
      <c r="P198" s="5"/>
    </row>
    <row r="199" spans="1:16" ht="19" customHeight="1">
      <c r="A199" s="5" t="str">
        <f>IF(E199&lt;&gt;"", "A"&amp;UPPER(LEFT(E199, 1)) &amp; TEXT(COUNTIF($E$3:E199, E199), "0000"), "")</f>
        <v>AC0029</v>
      </c>
      <c r="B199" s="5" t="s">
        <v>98</v>
      </c>
      <c r="C199" s="5" t="s">
        <v>779</v>
      </c>
      <c r="D199" s="5" t="s">
        <v>780</v>
      </c>
      <c r="E199" s="5" t="s">
        <v>26</v>
      </c>
      <c r="F199" s="5" t="s">
        <v>20</v>
      </c>
      <c r="G199" s="5"/>
      <c r="H199" s="5" t="s">
        <v>27</v>
      </c>
      <c r="I199" s="5"/>
      <c r="J199" s="5"/>
      <c r="K199" s="5"/>
      <c r="L199" s="5"/>
      <c r="M199" s="5"/>
      <c r="N199" s="7" t="str">
        <f t="shared" si="3"/>
        <v>AC0029 PEKO project General Enquiry</v>
      </c>
      <c r="O199" s="10" t="s">
        <v>782</v>
      </c>
      <c r="P199" s="5"/>
    </row>
    <row r="200" spans="1:16" ht="19" customHeight="1">
      <c r="A200" s="5" t="str">
        <f>IF(E200&lt;&gt;"", "A"&amp;UPPER(LEFT(E200, 1)) &amp; TEXT(COUNTIF($E$3:E200, E200), "0000"), "")</f>
        <v>AC0030</v>
      </c>
      <c r="B200" s="5" t="s">
        <v>784</v>
      </c>
      <c r="C200" s="5" t="s">
        <v>783</v>
      </c>
      <c r="D200" s="5" t="s">
        <v>25</v>
      </c>
      <c r="E200" s="5" t="s">
        <v>26</v>
      </c>
      <c r="F200" s="5" t="s">
        <v>47</v>
      </c>
      <c r="G200" s="5" t="s">
        <v>48</v>
      </c>
      <c r="H200" s="5" t="s">
        <v>235</v>
      </c>
      <c r="I200" s="5"/>
      <c r="J200" s="5"/>
      <c r="K200" s="5"/>
      <c r="L200" s="5"/>
      <c r="M200" s="5"/>
      <c r="N200" s="7" t="str">
        <f t="shared" si="3"/>
        <v>AC0030 General Inquiry</v>
      </c>
      <c r="O200" s="10" t="s">
        <v>785</v>
      </c>
      <c r="P200" s="5"/>
    </row>
    <row r="201" spans="1:16" ht="19" customHeight="1">
      <c r="A201" s="5" t="str">
        <f>IF(E201&lt;&gt;"", "A"&amp;UPPER(LEFT(E201, 1)) &amp; TEXT(COUNTIF($E$3:E201, E201), "0000"), "")</f>
        <v>AQ0094</v>
      </c>
      <c r="B201" s="5" t="s">
        <v>786</v>
      </c>
      <c r="C201" s="5" t="s">
        <v>787</v>
      </c>
      <c r="D201" s="5" t="s">
        <v>789</v>
      </c>
      <c r="E201" s="5" t="s">
        <v>41</v>
      </c>
      <c r="F201" s="5" t="s">
        <v>296</v>
      </c>
      <c r="G201" s="5" t="s">
        <v>788</v>
      </c>
      <c r="H201" s="5" t="s">
        <v>27</v>
      </c>
      <c r="I201" s="5"/>
      <c r="J201" s="5"/>
      <c r="K201" s="5"/>
      <c r="L201" s="5"/>
      <c r="M201" s="5"/>
      <c r="N201" s="7" t="str">
        <f t="shared" si="3"/>
        <v xml:space="preserve">AQ0094 BCI Stcokyard Belt Magnet </v>
      </c>
      <c r="O201" s="10" t="s">
        <v>795</v>
      </c>
      <c r="P201" s="5"/>
    </row>
    <row r="202" spans="1:16" ht="19" customHeight="1">
      <c r="A202" s="5" t="str">
        <f>IF(E202&lt;&gt;"", "A"&amp;UPPER(LEFT(E202, 1)) &amp; TEXT(COUNTIF($E$3:E202, E202), "0000"), "")</f>
        <v>AQ0095</v>
      </c>
      <c r="B202" s="5" t="s">
        <v>792</v>
      </c>
      <c r="C202" s="5" t="s">
        <v>791</v>
      </c>
      <c r="D202" s="5" t="s">
        <v>790</v>
      </c>
      <c r="E202" s="5" t="s">
        <v>41</v>
      </c>
      <c r="F202" s="5" t="s">
        <v>296</v>
      </c>
      <c r="G202" s="5" t="s">
        <v>403</v>
      </c>
      <c r="H202" s="5" t="s">
        <v>288</v>
      </c>
      <c r="I202" s="5"/>
      <c r="J202" s="5"/>
      <c r="K202" s="5"/>
      <c r="L202" s="5"/>
      <c r="M202" s="5"/>
      <c r="N202" s="7" t="str">
        <f t="shared" si="3"/>
        <v>AQ0095 Mt Lyell Class 2 FS-CP004-Tramp Metal Magnets</v>
      </c>
      <c r="O202" s="10" t="s">
        <v>796</v>
      </c>
      <c r="P202" s="5"/>
    </row>
    <row r="203" spans="1:16" ht="19" customHeight="1">
      <c r="A203" s="5" t="str">
        <f>IF(E203&lt;&gt;"", "A"&amp;UPPER(LEFT(E203, 1)) &amp; TEXT(COUNTIF($E$3:E203, E203), "0000"), "")</f>
        <v>AQ0096</v>
      </c>
      <c r="B203" s="5" t="s">
        <v>633</v>
      </c>
      <c r="C203" s="5" t="s">
        <v>634</v>
      </c>
      <c r="D203" s="5" t="s">
        <v>793</v>
      </c>
      <c r="E203" s="5" t="s">
        <v>41</v>
      </c>
      <c r="F203" s="5" t="s">
        <v>296</v>
      </c>
      <c r="G203" s="5" t="s">
        <v>543</v>
      </c>
      <c r="H203" s="5" t="s">
        <v>21</v>
      </c>
      <c r="I203" s="5"/>
      <c r="J203" s="5"/>
      <c r="K203" s="5"/>
      <c r="L203" s="5"/>
      <c r="M203" s="5"/>
      <c r="N203" s="7" t="str">
        <f t="shared" si="3"/>
        <v>AQ0096 2679 Sand Washing and Magnetite Recovery Plant</v>
      </c>
      <c r="O203" s="10" t="s">
        <v>797</v>
      </c>
      <c r="P203" s="5"/>
    </row>
    <row r="204" spans="1:16" ht="19" customHeight="1">
      <c r="A204" s="5" t="str">
        <f>IF(E204&lt;&gt;"", "A"&amp;UPPER(LEFT(E204, 1)) &amp; TEXT(COUNTIF($E$3:E204, E204), "0000"), "")</f>
        <v>AQ0097</v>
      </c>
      <c r="B204" s="5" t="s">
        <v>659</v>
      </c>
      <c r="C204" s="5" t="s">
        <v>184</v>
      </c>
      <c r="D204" s="5" t="s">
        <v>794</v>
      </c>
      <c r="E204" s="5" t="s">
        <v>41</v>
      </c>
      <c r="F204" s="5" t="s">
        <v>20</v>
      </c>
      <c r="G204" s="5"/>
      <c r="H204" s="5" t="s">
        <v>234</v>
      </c>
      <c r="I204" s="5"/>
      <c r="J204" s="5"/>
      <c r="K204" s="5"/>
      <c r="L204" s="5"/>
      <c r="M204" s="5"/>
      <c r="N204" s="7" t="str">
        <f t="shared" si="3"/>
        <v>AQ0097 DMS Drum Skin with lining and end plate</v>
      </c>
      <c r="O204" s="10" t="s">
        <v>798</v>
      </c>
      <c r="P204" s="5"/>
    </row>
    <row r="205" spans="1:16" ht="19" customHeight="1">
      <c r="A205" s="5" t="str">
        <f>IF(E205&lt;&gt;"", "A"&amp;UPPER(LEFT(E205, 1)) &amp; TEXT(COUNTIF($E$3:E205, E205), "0000"), "")</f>
        <v>AQ0098</v>
      </c>
      <c r="B205" s="5" t="s">
        <v>647</v>
      </c>
      <c r="C205" s="5" t="s">
        <v>648</v>
      </c>
      <c r="D205" s="5" t="s">
        <v>799</v>
      </c>
      <c r="E205" s="5" t="s">
        <v>41</v>
      </c>
      <c r="F205" s="5" t="s">
        <v>495</v>
      </c>
      <c r="G205" s="5" t="s">
        <v>649</v>
      </c>
      <c r="H205" s="5" t="s">
        <v>234</v>
      </c>
      <c r="I205" s="5"/>
      <c r="J205" s="5"/>
      <c r="K205" s="5"/>
      <c r="L205" s="5"/>
      <c r="M205" s="5"/>
      <c r="N205" s="7" t="str">
        <f t="shared" si="3"/>
        <v xml:space="preserve">AQ0098 Magnetic Separators </v>
      </c>
      <c r="O205" s="10" t="s">
        <v>800</v>
      </c>
      <c r="P205" s="5"/>
    </row>
    <row r="206" spans="1:16" ht="19" customHeight="1">
      <c r="A206" s="5" t="str">
        <f>IF(E206&lt;&gt;"", "A"&amp;UPPER(LEFT(E206, 1)) &amp; TEXT(COUNTIF($E$3:E206, E206), "0000"), "")</f>
        <v>AQ0099</v>
      </c>
      <c r="B206" s="5" t="s">
        <v>803</v>
      </c>
      <c r="C206" s="5" t="s">
        <v>802</v>
      </c>
      <c r="D206" s="5" t="s">
        <v>804</v>
      </c>
      <c r="E206" s="5" t="s">
        <v>41</v>
      </c>
      <c r="F206" s="5" t="s">
        <v>323</v>
      </c>
      <c r="G206" s="5" t="s">
        <v>274</v>
      </c>
      <c r="H206" s="5" t="s">
        <v>21</v>
      </c>
      <c r="I206" s="5"/>
      <c r="J206" s="5"/>
      <c r="K206" s="5"/>
      <c r="L206" s="5"/>
      <c r="M206" s="5"/>
      <c r="N206" s="7" t="str">
        <f t="shared" si="3"/>
        <v>AQ0099 MS Drum Replacement</v>
      </c>
      <c r="O206" s="10" t="s">
        <v>805</v>
      </c>
      <c r="P206" s="5"/>
    </row>
    <row r="207" spans="1:16" ht="19" customHeight="1">
      <c r="A207" s="5" t="str">
        <f>IF(E207&lt;&gt;"", "A"&amp;UPPER(LEFT(E207, 1)) &amp; TEXT(COUNTIF($E$3:E207, E207), "0000"), "")</f>
        <v>AT0059</v>
      </c>
      <c r="B207" s="5" t="s">
        <v>807</v>
      </c>
      <c r="C207" s="5" t="s">
        <v>808</v>
      </c>
      <c r="D207" s="5" t="s">
        <v>46</v>
      </c>
      <c r="E207" s="5" t="s">
        <v>19</v>
      </c>
      <c r="F207" s="5" t="s">
        <v>47</v>
      </c>
      <c r="G207" s="5" t="s">
        <v>806</v>
      </c>
      <c r="H207" s="5" t="s">
        <v>235</v>
      </c>
      <c r="I207" s="5"/>
      <c r="J207" s="5"/>
      <c r="K207" s="5"/>
      <c r="L207" s="5"/>
      <c r="M207" s="5"/>
      <c r="N207" s="7" t="str">
        <f t="shared" si="3"/>
        <v>AT0059 WHIMS Testwork</v>
      </c>
      <c r="O207" s="10" t="s">
        <v>809</v>
      </c>
      <c r="P207" s="5"/>
    </row>
    <row r="208" spans="1:16" ht="19" customHeight="1">
      <c r="A208" s="5" t="str">
        <f>IF(E208&lt;&gt;"", "A"&amp;UPPER(LEFT(E208, 1)) &amp; TEXT(COUNTIF($E$3:E208, E208), "0000"), "")</f>
        <v>AC0031</v>
      </c>
      <c r="B208" s="5" t="s">
        <v>810</v>
      </c>
      <c r="C208" s="5" t="s">
        <v>811</v>
      </c>
      <c r="D208" s="5" t="s">
        <v>25</v>
      </c>
      <c r="E208" s="5" t="s">
        <v>26</v>
      </c>
      <c r="F208" s="5" t="s">
        <v>296</v>
      </c>
      <c r="G208" s="5" t="s">
        <v>812</v>
      </c>
      <c r="H208" s="5" t="s">
        <v>235</v>
      </c>
      <c r="I208" s="5"/>
      <c r="J208" s="5"/>
      <c r="K208" s="5"/>
      <c r="L208" s="5"/>
      <c r="M208" s="5"/>
      <c r="N208" s="7" t="str">
        <f t="shared" si="3"/>
        <v>AC0031 General Inquiry</v>
      </c>
      <c r="O208" s="10" t="s">
        <v>813</v>
      </c>
      <c r="P208" s="5"/>
    </row>
    <row r="209" spans="1:16" ht="19" customHeight="1">
      <c r="A209" s="5" t="str">
        <f>IF(E209&lt;&gt;"", "A"&amp;UPPER(LEFT(E209, 1)) &amp; TEXT(COUNTIF($E$3:E209, E209), "0000"), "")</f>
        <v>AT0060</v>
      </c>
      <c r="B209" s="5" t="s">
        <v>68</v>
      </c>
      <c r="C209" s="5" t="s">
        <v>69</v>
      </c>
      <c r="D209" s="5" t="s">
        <v>814</v>
      </c>
      <c r="E209" s="5" t="s">
        <v>19</v>
      </c>
      <c r="F209" s="5" t="s">
        <v>53</v>
      </c>
      <c r="G209" s="5"/>
      <c r="H209" s="5" t="s">
        <v>21</v>
      </c>
      <c r="I209" s="5"/>
      <c r="J209" s="5"/>
      <c r="K209" s="5"/>
      <c r="L209" s="5"/>
      <c r="M209" s="5"/>
      <c r="N209" s="7" t="str">
        <f t="shared" si="3"/>
        <v xml:space="preserve">AT0060 LIMS Testwork </v>
      </c>
      <c r="O209" s="10" t="s">
        <v>815</v>
      </c>
      <c r="P209" s="5"/>
    </row>
    <row r="210" spans="1:16" ht="19" customHeight="1">
      <c r="A210" s="5" t="str">
        <f>IF(E210&lt;&gt;"", "A"&amp;UPPER(LEFT(E210, 1)) &amp; TEXT(COUNTIF($E$3:E210, E210), "0000"), "")</f>
        <v>AQ0100</v>
      </c>
      <c r="B210" s="5" t="s">
        <v>817</v>
      </c>
      <c r="C210" s="5" t="s">
        <v>816</v>
      </c>
      <c r="D210" s="5" t="s">
        <v>818</v>
      </c>
      <c r="E210" s="5" t="s">
        <v>41</v>
      </c>
      <c r="F210" s="5" t="s">
        <v>355</v>
      </c>
      <c r="G210" s="5" t="s">
        <v>403</v>
      </c>
      <c r="H210" s="5" t="s">
        <v>21</v>
      </c>
      <c r="I210" s="5"/>
      <c r="J210" s="5"/>
      <c r="K210" s="5"/>
      <c r="L210" s="5"/>
      <c r="M210" s="5"/>
      <c r="N210" s="7" t="str">
        <f t="shared" si="3"/>
        <v>AQ0100 13041-CP008 - Magnetic Separators- PFS</v>
      </c>
      <c r="O210" s="10" t="s">
        <v>824</v>
      </c>
      <c r="P210" s="5"/>
    </row>
    <row r="211" spans="1:16" ht="19" customHeight="1">
      <c r="A211" s="5" t="str">
        <f>IF(E211&lt;&gt;"", "A"&amp;UPPER(LEFT(E211, 1)) &amp; TEXT(COUNTIF($E$3:E211, E211), "0000"), "")</f>
        <v>AQ0101</v>
      </c>
      <c r="B211" s="5" t="s">
        <v>166</v>
      </c>
      <c r="C211" s="5" t="s">
        <v>167</v>
      </c>
      <c r="D211" s="5" t="s">
        <v>819</v>
      </c>
      <c r="E211" s="5" t="s">
        <v>41</v>
      </c>
      <c r="F211" s="5" t="s">
        <v>53</v>
      </c>
      <c r="G211" s="5" t="s">
        <v>821</v>
      </c>
      <c r="H211" s="5" t="s">
        <v>21</v>
      </c>
      <c r="I211" s="5"/>
      <c r="J211" s="5"/>
      <c r="K211" s="5"/>
      <c r="L211" s="5"/>
      <c r="M211" s="5"/>
      <c r="N211" s="7" t="str">
        <f t="shared" si="3"/>
        <v>AQ0101 MTH-300-ME-RFT-0048 Covalent Expansion Project - WHIMS</v>
      </c>
      <c r="O211" s="10" t="s">
        <v>822</v>
      </c>
      <c r="P211" s="5"/>
    </row>
    <row r="212" spans="1:16" ht="19" customHeight="1">
      <c r="A212" s="5" t="str">
        <f>IF(E212&lt;&gt;"", "A"&amp;UPPER(LEFT(E212, 1)) &amp; TEXT(COUNTIF($E$3:E212, E212), "0000"), "")</f>
        <v>AQ0102</v>
      </c>
      <c r="B212" s="5" t="s">
        <v>166</v>
      </c>
      <c r="C212" s="5" t="s">
        <v>167</v>
      </c>
      <c r="D212" s="5" t="s">
        <v>820</v>
      </c>
      <c r="E212" s="5" t="s">
        <v>41</v>
      </c>
      <c r="F212" s="5" t="s">
        <v>53</v>
      </c>
      <c r="G212" s="5" t="s">
        <v>821</v>
      </c>
      <c r="H212" s="5" t="s">
        <v>21</v>
      </c>
      <c r="I212" s="5"/>
      <c r="J212" s="5"/>
      <c r="K212" s="5"/>
      <c r="L212" s="5"/>
      <c r="M212" s="5"/>
      <c r="N212" s="7" t="str">
        <f t="shared" si="3"/>
        <v>AQ0102  MTH-300-ME-RFT-0003 Covalent Expansion Project - LIMS</v>
      </c>
      <c r="O212" s="10" t="s">
        <v>823</v>
      </c>
      <c r="P212" s="5"/>
    </row>
    <row r="213" spans="1:16" ht="19" customHeight="1">
      <c r="A213" s="5" t="str">
        <f>IF(E213&lt;&gt;"", "A"&amp;UPPER(LEFT(E213, 1)) &amp; TEXT(COUNTIF($E$3:E213, E213), "0000"), "")</f>
        <v>AQ0103</v>
      </c>
      <c r="B213" s="5" t="s">
        <v>659</v>
      </c>
      <c r="C213" s="5" t="s">
        <v>184</v>
      </c>
      <c r="D213" s="5" t="s">
        <v>825</v>
      </c>
      <c r="E213" s="5" t="s">
        <v>41</v>
      </c>
      <c r="F213" s="5" t="s">
        <v>495</v>
      </c>
      <c r="G213" s="5"/>
      <c r="H213" s="5" t="s">
        <v>234</v>
      </c>
      <c r="I213" s="5"/>
      <c r="J213" s="5"/>
      <c r="K213" s="5"/>
      <c r="L213" s="5"/>
      <c r="M213" s="5"/>
      <c r="N213" s="7" t="str">
        <f t="shared" si="3"/>
        <v>AQ0103 4th DMS and Platform Assembly</v>
      </c>
      <c r="O213" s="10" t="s">
        <v>826</v>
      </c>
      <c r="P213" s="5"/>
    </row>
    <row r="214" spans="1:16" ht="19" customHeight="1">
      <c r="A214" s="5" t="str">
        <f>IF(E214&lt;&gt;"", "A"&amp;UPPER(LEFT(E214, 1)) &amp; TEXT(COUNTIF($E$3:E214, E214), "0000"), "")</f>
        <v>AQ0104</v>
      </c>
      <c r="B214" s="5" t="s">
        <v>768</v>
      </c>
      <c r="C214" s="5" t="s">
        <v>769</v>
      </c>
      <c r="D214" s="5" t="s">
        <v>827</v>
      </c>
      <c r="E214" s="5" t="s">
        <v>41</v>
      </c>
      <c r="F214" s="5" t="s">
        <v>47</v>
      </c>
      <c r="G214" s="5"/>
      <c r="H214" s="5" t="s">
        <v>234</v>
      </c>
      <c r="I214" s="5"/>
      <c r="J214" s="5"/>
      <c r="K214" s="5"/>
      <c r="L214" s="5"/>
      <c r="M214" s="5"/>
      <c r="N214" s="7" t="str">
        <f t="shared" si="3"/>
        <v>AQ0104 ENC Group Rare Earth Pilot Plant</v>
      </c>
      <c r="O214" s="10" t="s">
        <v>828</v>
      </c>
      <c r="P214" s="5"/>
    </row>
    <row r="215" spans="1:16" ht="19" customHeight="1">
      <c r="A215" s="5" t="str">
        <f>IF(E215&lt;&gt;"", "A"&amp;UPPER(LEFT(E215, 1)) &amp; TEXT(COUNTIF($E$3:E215, E215), "0000"), "")</f>
        <v>AQ0105</v>
      </c>
      <c r="B215" s="5" t="s">
        <v>768</v>
      </c>
      <c r="C215" s="5" t="s">
        <v>769</v>
      </c>
      <c r="D215" s="5" t="s">
        <v>829</v>
      </c>
      <c r="E215" s="5" t="s">
        <v>41</v>
      </c>
      <c r="F215" s="5" t="s">
        <v>47</v>
      </c>
      <c r="G215" s="5"/>
      <c r="H215" s="5" t="s">
        <v>234</v>
      </c>
      <c r="I215" s="5"/>
      <c r="J215" s="5"/>
      <c r="K215" s="5"/>
      <c r="L215" s="5"/>
      <c r="M215" s="5"/>
      <c r="N215" s="7" t="str">
        <f t="shared" si="3"/>
        <v>AQ0105 Ore Sorter Lab Equipment</v>
      </c>
      <c r="O215" s="10" t="s">
        <v>830</v>
      </c>
      <c r="P215" s="5"/>
    </row>
    <row r="216" spans="1:16" ht="19" customHeight="1">
      <c r="A216" s="5" t="str">
        <f>IF(E216&lt;&gt;"", "A"&amp;UPPER(LEFT(E216, 1)) &amp; TEXT(COUNTIF($E$3:E216, E216), "0000"), "")</f>
        <v>AT0061</v>
      </c>
      <c r="B216" s="5" t="s">
        <v>123</v>
      </c>
      <c r="C216" s="5" t="s">
        <v>124</v>
      </c>
      <c r="D216" s="5" t="s">
        <v>456</v>
      </c>
      <c r="E216" s="5" t="s">
        <v>19</v>
      </c>
      <c r="F216" s="5" t="s">
        <v>495</v>
      </c>
      <c r="G216" s="5"/>
      <c r="H216" s="5" t="s">
        <v>234</v>
      </c>
      <c r="I216" s="5"/>
      <c r="J216" s="5"/>
      <c r="K216" s="5"/>
      <c r="L216" s="5"/>
      <c r="M216" s="5"/>
      <c r="N216" s="7" t="str">
        <f t="shared" si="3"/>
        <v>AT0061 Metallurgical Testworks</v>
      </c>
      <c r="O216" s="10" t="s">
        <v>831</v>
      </c>
      <c r="P216" s="5"/>
    </row>
    <row r="217" spans="1:16" ht="20.5" customHeight="1">
      <c r="A217" s="5" t="str">
        <f>IF(E217&lt;&gt;"", "A"&amp;UPPER(LEFT(E217, 1)) &amp; TEXT(COUNTIF($E$3:E217, E217), "0000"), "")</f>
        <v>AQ0106</v>
      </c>
      <c r="B217" s="5" t="s">
        <v>843</v>
      </c>
      <c r="C217" s="5" t="s">
        <v>150</v>
      </c>
      <c r="D217" s="5" t="s">
        <v>844</v>
      </c>
      <c r="E217" s="5" t="s">
        <v>41</v>
      </c>
      <c r="F217" s="5" t="s">
        <v>296</v>
      </c>
      <c r="G217" s="5"/>
      <c r="H217" s="5" t="s">
        <v>235</v>
      </c>
      <c r="I217" s="5"/>
      <c r="J217" s="5"/>
      <c r="K217" s="5"/>
      <c r="L217" s="5"/>
      <c r="M217" s="5"/>
      <c r="N217" s="7" t="str">
        <f t="shared" si="3"/>
        <v>AQ0106 Tramp Metal Magnets(RCDFJ-16-T4)</v>
      </c>
      <c r="O217" s="10" t="s">
        <v>833</v>
      </c>
      <c r="P217" s="5"/>
    </row>
    <row r="218" spans="1:16" ht="20.5" customHeight="1">
      <c r="A218" s="5" t="str">
        <f>IF(E218&lt;&gt;"", "A"&amp;UPPER(LEFT(E218, 1)) &amp; TEXT(COUNTIF($E$3:E218, E218), "0000"), "")</f>
        <v>AT0062</v>
      </c>
      <c r="B218" s="5" t="s">
        <v>834</v>
      </c>
      <c r="C218" s="5" t="s">
        <v>835</v>
      </c>
      <c r="D218" s="5" t="s">
        <v>456</v>
      </c>
      <c r="E218" s="5" t="s">
        <v>19</v>
      </c>
      <c r="F218" s="5" t="s">
        <v>20</v>
      </c>
      <c r="G218" s="5"/>
      <c r="H218" s="5" t="s">
        <v>235</v>
      </c>
      <c r="I218" s="5"/>
      <c r="J218" s="5"/>
      <c r="K218" s="5"/>
      <c r="L218" s="5"/>
      <c r="M218" s="5"/>
      <c r="N218" s="7" t="str">
        <f t="shared" si="3"/>
        <v>AT0062 Metallurgical Testworks</v>
      </c>
      <c r="O218" s="10" t="s">
        <v>841</v>
      </c>
      <c r="P218" s="5"/>
    </row>
    <row r="219" spans="1:16" ht="20.5" customHeight="1">
      <c r="A219" s="5" t="str">
        <f>IF(E219&lt;&gt;"", "A"&amp;UPPER(LEFT(E219, 1)) &amp; TEXT(COUNTIF($E$3:E219, E219), "0000"), "")</f>
        <v>AC0032</v>
      </c>
      <c r="B219" s="5" t="s">
        <v>837</v>
      </c>
      <c r="C219" s="5" t="s">
        <v>838</v>
      </c>
      <c r="D219" s="5" t="s">
        <v>25</v>
      </c>
      <c r="E219" s="5" t="s">
        <v>26</v>
      </c>
      <c r="F219" s="5" t="s">
        <v>20</v>
      </c>
      <c r="G219" s="5"/>
      <c r="H219" s="5" t="s">
        <v>235</v>
      </c>
      <c r="I219" s="5"/>
      <c r="J219" s="5"/>
      <c r="K219" s="5"/>
      <c r="L219" s="5"/>
      <c r="M219" s="5"/>
      <c r="N219" s="7" t="str">
        <f t="shared" ref="N219:N248" si="4">A219&amp;" "&amp;D219</f>
        <v>AC0032 General Inquiry</v>
      </c>
      <c r="O219" s="10" t="s">
        <v>842</v>
      </c>
      <c r="P219" s="5"/>
    </row>
    <row r="220" spans="1:16" s="2" customFormat="1" ht="20.5" customHeight="1">
      <c r="A220" s="5" t="str">
        <f>IF(E220&lt;&gt;"", "A"&amp;UPPER(LEFT(E220, 1)) &amp; TEXT(COUNTIF($E$3:E220, E220), "0000"), "")</f>
        <v>AQ0107</v>
      </c>
      <c r="B220" s="5" t="s">
        <v>449</v>
      </c>
      <c r="C220" s="5" t="s">
        <v>856</v>
      </c>
      <c r="D220" s="5" t="s">
        <v>858</v>
      </c>
      <c r="E220" s="5" t="s">
        <v>41</v>
      </c>
      <c r="F220" s="5" t="s">
        <v>133</v>
      </c>
      <c r="G220" s="5" t="s">
        <v>846</v>
      </c>
      <c r="H220" s="5" t="s">
        <v>234</v>
      </c>
      <c r="I220" s="5"/>
      <c r="J220" s="6">
        <v>45869</v>
      </c>
      <c r="K220" s="5"/>
      <c r="L220" s="5" t="s">
        <v>847</v>
      </c>
      <c r="M220" s="5"/>
      <c r="N220" s="7" t="str">
        <f t="shared" si="4"/>
        <v>AQ0107 Low Grade Denside Medium Recovery Drum</v>
      </c>
      <c r="O220" s="10" t="s">
        <v>849</v>
      </c>
      <c r="P220" s="5"/>
    </row>
    <row r="221" spans="1:16" ht="20.5" customHeight="1">
      <c r="A221" s="5" t="str">
        <f>IF(E221&lt;&gt;"", "A"&amp;UPPER(LEFT(E221, 1)) &amp; TEXT(COUNTIF($E$3:E221, E221), "0000"), "")</f>
        <v>AQ0108</v>
      </c>
      <c r="B221" s="5" t="s">
        <v>166</v>
      </c>
      <c r="C221" s="5" t="s">
        <v>857</v>
      </c>
      <c r="D221" s="5" t="s">
        <v>859</v>
      </c>
      <c r="E221" s="5" t="s">
        <v>41</v>
      </c>
      <c r="F221" s="5" t="s">
        <v>53</v>
      </c>
      <c r="G221" s="5"/>
      <c r="H221" s="5" t="s">
        <v>21</v>
      </c>
      <c r="I221" s="5"/>
      <c r="J221" s="5"/>
      <c r="K221" s="5"/>
      <c r="L221" s="5" t="s">
        <v>848</v>
      </c>
      <c r="M221" s="5"/>
      <c r="N221" s="7" t="str">
        <f t="shared" si="4"/>
        <v>AQ0108 CON-EXP-015 LIMS&amp; WHIMS</v>
      </c>
      <c r="O221" s="10" t="s">
        <v>850</v>
      </c>
      <c r="P221" s="5"/>
    </row>
    <row r="222" spans="1:16" ht="20.5" customHeight="1">
      <c r="A222" s="5" t="str">
        <f>IF(E222&lt;&gt;"", "A"&amp;UPPER(LEFT(E222, 1)) &amp; TEXT(COUNTIF($E$3:E222, E222), "0000"), "")</f>
        <v>AC0033</v>
      </c>
      <c r="B222" s="5" t="s">
        <v>852</v>
      </c>
      <c r="C222" s="5" t="s">
        <v>853</v>
      </c>
      <c r="D222" s="5" t="s">
        <v>25</v>
      </c>
      <c r="E222" s="5" t="s">
        <v>26</v>
      </c>
      <c r="F222" s="5" t="s">
        <v>296</v>
      </c>
      <c r="G222" s="5"/>
      <c r="H222" s="5" t="s">
        <v>235</v>
      </c>
      <c r="I222" s="5"/>
      <c r="J222" s="5"/>
      <c r="K222" s="5"/>
      <c r="L222" s="5"/>
      <c r="M222" s="5"/>
      <c r="N222" s="7" t="str">
        <f t="shared" si="4"/>
        <v>AC0033 General Inquiry</v>
      </c>
      <c r="O222" s="10" t="s">
        <v>854</v>
      </c>
      <c r="P222" s="5"/>
    </row>
    <row r="223" spans="1:16" ht="20.5" customHeight="1">
      <c r="A223" s="5" t="str">
        <f>IF(E223&lt;&gt;"", "A"&amp;UPPER(LEFT(E223, 1)) &amp; TEXT(COUNTIF($E$3:E223, E223), "0000"), "")</f>
        <v>AT0063</v>
      </c>
      <c r="B223" s="5" t="s">
        <v>647</v>
      </c>
      <c r="C223" s="5" t="s">
        <v>648</v>
      </c>
      <c r="D223" s="5" t="s">
        <v>391</v>
      </c>
      <c r="E223" s="5" t="s">
        <v>19</v>
      </c>
      <c r="F223" s="5" t="s">
        <v>20</v>
      </c>
      <c r="G223" s="5"/>
      <c r="H223" s="5" t="s">
        <v>234</v>
      </c>
      <c r="I223" s="5"/>
      <c r="J223" s="6">
        <v>45888</v>
      </c>
      <c r="K223" s="5"/>
      <c r="L223" s="5"/>
      <c r="M223" s="5"/>
      <c r="N223" s="7" t="str">
        <f t="shared" si="4"/>
        <v>AT0063 LCGF Pilot Testwork</v>
      </c>
      <c r="O223" s="10" t="s">
        <v>855</v>
      </c>
      <c r="P223" s="5"/>
    </row>
    <row r="224" spans="1:16" ht="20.5" customHeight="1">
      <c r="A224" s="5" t="str">
        <f>IF(E224&lt;&gt;"", "A"&amp;UPPER(LEFT(E224, 1)) &amp; TEXT(COUNTIF($E$3:E224, E224), "0000"), "")</f>
        <v>AQ0109</v>
      </c>
      <c r="B224" s="5" t="s">
        <v>659</v>
      </c>
      <c r="C224" s="5" t="s">
        <v>184</v>
      </c>
      <c r="D224" s="5" t="s">
        <v>860</v>
      </c>
      <c r="E224" s="5" t="s">
        <v>41</v>
      </c>
      <c r="F224" s="5" t="s">
        <v>20</v>
      </c>
      <c r="G224" s="5"/>
      <c r="H224" s="5" t="s">
        <v>234</v>
      </c>
      <c r="I224" s="5"/>
      <c r="J224" s="5"/>
      <c r="K224" s="5"/>
      <c r="L224" s="5"/>
      <c r="M224" s="5"/>
      <c r="N224" s="7" t="str">
        <f t="shared" si="4"/>
        <v>AQ0109 LCGZ Lab equipment</v>
      </c>
      <c r="O224" s="10" t="s">
        <v>868</v>
      </c>
      <c r="P224" s="5"/>
    </row>
    <row r="225" spans="1:16" ht="20.5" customHeight="1">
      <c r="A225" s="5" t="str">
        <f>IF(E225&lt;&gt;"", "A"&amp;UPPER(LEFT(E225, 1)) &amp; TEXT(COUNTIF($E$3:E225, E225), "0000"), "")</f>
        <v>AQ0110</v>
      </c>
      <c r="B225" s="5" t="s">
        <v>369</v>
      </c>
      <c r="C225" s="5" t="s">
        <v>369</v>
      </c>
      <c r="D225" s="5" t="s">
        <v>863</v>
      </c>
      <c r="E225" s="5" t="s">
        <v>41</v>
      </c>
      <c r="F225" s="5" t="s">
        <v>20</v>
      </c>
      <c r="G225" s="5"/>
      <c r="H225" s="5" t="s">
        <v>234</v>
      </c>
      <c r="I225" s="5"/>
      <c r="J225" s="5"/>
      <c r="K225" s="5"/>
      <c r="L225" s="5"/>
      <c r="M225" s="5"/>
      <c r="N225" s="7" t="str">
        <f t="shared" si="4"/>
        <v>AQ0110 Indian Mag Separation Enquiry</v>
      </c>
      <c r="O225" s="10" t="s">
        <v>870</v>
      </c>
      <c r="P225" s="5"/>
    </row>
    <row r="226" spans="1:16" ht="20.5" customHeight="1">
      <c r="A226" s="5" t="str">
        <f>IF(E226&lt;&gt;"", "A"&amp;UPPER(LEFT(E226, 1)) &amp; TEXT(COUNTIF($E$3:E226, E226), "0000"), "")</f>
        <v>AQ0111</v>
      </c>
      <c r="B226" s="5" t="s">
        <v>376</v>
      </c>
      <c r="C226" s="5" t="s">
        <v>378</v>
      </c>
      <c r="D226" s="5" t="s">
        <v>864</v>
      </c>
      <c r="E226" s="5" t="s">
        <v>41</v>
      </c>
      <c r="F226" s="5" t="s">
        <v>296</v>
      </c>
      <c r="G226" s="5" t="s">
        <v>736</v>
      </c>
      <c r="H226" s="5" t="s">
        <v>234</v>
      </c>
      <c r="I226" s="5"/>
      <c r="J226" s="5"/>
      <c r="K226" s="5"/>
      <c r="L226" s="5"/>
      <c r="M226" s="5"/>
      <c r="N226" s="7" t="str">
        <f t="shared" si="4"/>
        <v>AQ0111 Semimobile Cruhsing Magnets</v>
      </c>
      <c r="O226" s="10" t="s">
        <v>869</v>
      </c>
      <c r="P226" s="5"/>
    </row>
    <row r="227" spans="1:16" ht="20.5" customHeight="1">
      <c r="A227" s="5" t="str">
        <f>IF(E227&lt;&gt;"", "A"&amp;UPPER(LEFT(E227, 1)) &amp; TEXT(COUNTIF($E$3:E227, E227), "0000"), "")</f>
        <v>AQ0112</v>
      </c>
      <c r="B227" s="5" t="s">
        <v>867</v>
      </c>
      <c r="C227" s="5" t="s">
        <v>866</v>
      </c>
      <c r="D227" s="5" t="s">
        <v>865</v>
      </c>
      <c r="E227" s="5" t="s">
        <v>41</v>
      </c>
      <c r="F227" s="5" t="s">
        <v>296</v>
      </c>
      <c r="G227" s="5" t="s">
        <v>736</v>
      </c>
      <c r="H227" s="5" t="s">
        <v>234</v>
      </c>
      <c r="I227" s="5"/>
      <c r="J227" s="5"/>
      <c r="K227" s="5"/>
      <c r="L227" s="5"/>
      <c r="M227" s="5"/>
      <c r="N227" s="7" t="str">
        <f t="shared" ref="N227" si="5">A227&amp;" "&amp;D227</f>
        <v>AQ0112 Youanmi Gold</v>
      </c>
      <c r="O227" s="10"/>
      <c r="P227" s="5"/>
    </row>
    <row r="228" spans="1:16" ht="20.5" customHeight="1">
      <c r="A228" s="5" t="str">
        <f>IF(E228&lt;&gt;"", "A"&amp;UPPER(LEFT(E228, 1)) &amp; TEXT(COUNTIF($E$3:E228, E228), "0000"), "")</f>
        <v>AT0064</v>
      </c>
      <c r="B228" s="5" t="s">
        <v>178</v>
      </c>
      <c r="C228" s="5" t="s">
        <v>179</v>
      </c>
      <c r="D228" s="5" t="s">
        <v>436</v>
      </c>
      <c r="E228" s="5" t="s">
        <v>19</v>
      </c>
      <c r="F228" s="5" t="s">
        <v>20</v>
      </c>
      <c r="G228" s="5"/>
      <c r="H228" s="5" t="s">
        <v>235</v>
      </c>
      <c r="I228" s="5"/>
      <c r="J228" s="5"/>
      <c r="K228" s="5"/>
      <c r="L228" s="5"/>
      <c r="M228" s="5"/>
      <c r="N228" s="7" t="str">
        <f t="shared" si="4"/>
        <v>AT0064 Dry Magnetic Separation Testwork</v>
      </c>
      <c r="O228" s="10" t="s">
        <v>871</v>
      </c>
      <c r="P228" s="5"/>
    </row>
    <row r="229" spans="1:16" ht="20.5" customHeight="1">
      <c r="A229" s="5" t="str">
        <f>IF(E229&lt;&gt;"", "A"&amp;UPPER(LEFT(E229, 1)) &amp; TEXT(COUNTIF($E$3:E229, E229), "0000"), "")</f>
        <v>AT0065</v>
      </c>
      <c r="B229" s="5" t="s">
        <v>144</v>
      </c>
      <c r="C229" s="5" t="s">
        <v>145</v>
      </c>
      <c r="D229" s="5" t="s">
        <v>436</v>
      </c>
      <c r="E229" s="5" t="s">
        <v>19</v>
      </c>
      <c r="F229" s="5" t="s">
        <v>20</v>
      </c>
      <c r="G229" s="5" t="s">
        <v>48</v>
      </c>
      <c r="H229" s="5" t="s">
        <v>235</v>
      </c>
      <c r="I229" s="5"/>
      <c r="J229" s="5"/>
      <c r="K229" s="5"/>
      <c r="L229" s="5"/>
      <c r="M229" s="5"/>
      <c r="N229" s="7" t="str">
        <f t="shared" si="4"/>
        <v>AT0065 Dry Magnetic Separation Testwork</v>
      </c>
      <c r="O229" s="10" t="s">
        <v>872</v>
      </c>
      <c r="P229" s="5"/>
    </row>
    <row r="230" spans="1:16" ht="20.5" customHeight="1">
      <c r="A230" s="5" t="str">
        <f>IF(E230&lt;&gt;"", "A"&amp;UPPER(LEFT(E230, 1)) &amp; TEXT(COUNTIF($E$3:E230, E230), "0000"), "")</f>
        <v>AQ0113</v>
      </c>
      <c r="B230" s="5" t="s">
        <v>38</v>
      </c>
      <c r="C230" s="5" t="s">
        <v>39</v>
      </c>
      <c r="D230" s="5" t="s">
        <v>873</v>
      </c>
      <c r="E230" s="5" t="s">
        <v>41</v>
      </c>
      <c r="F230" s="5" t="s">
        <v>20</v>
      </c>
      <c r="G230" s="5" t="s">
        <v>42</v>
      </c>
      <c r="H230" s="5" t="s">
        <v>234</v>
      </c>
      <c r="I230" s="5"/>
      <c r="J230" s="5"/>
      <c r="K230" s="5"/>
      <c r="L230" s="5"/>
      <c r="M230" s="5"/>
      <c r="N230" s="7" t="str">
        <f t="shared" si="4"/>
        <v>AQ0113 Semimobile crushing and Dry mag sepration plant</v>
      </c>
      <c r="O230" s="10" t="s">
        <v>874</v>
      </c>
      <c r="P230" s="5"/>
    </row>
    <row r="231" spans="1:16" ht="20.5" customHeight="1">
      <c r="A231" s="5" t="str">
        <f>IF(E231&lt;&gt;"", "A"&amp;UPPER(LEFT(E231, 1)) &amp; TEXT(COUNTIF($E$3:E231, E231), "0000"), "")</f>
        <v>AT0066</v>
      </c>
      <c r="B231" s="5" t="s">
        <v>659</v>
      </c>
      <c r="C231" s="5" t="s">
        <v>184</v>
      </c>
      <c r="D231" s="5" t="s">
        <v>456</v>
      </c>
      <c r="E231" s="5" t="s">
        <v>19</v>
      </c>
      <c r="F231" s="5" t="s">
        <v>20</v>
      </c>
      <c r="G231" s="5"/>
      <c r="H231" s="5" t="s">
        <v>235</v>
      </c>
      <c r="I231" s="5"/>
      <c r="J231" s="5"/>
      <c r="K231" s="5"/>
      <c r="L231" s="5"/>
      <c r="M231" s="5"/>
      <c r="N231" s="7" t="str">
        <f t="shared" si="4"/>
        <v>AT0066 Metallurgical Testworks</v>
      </c>
      <c r="O231" s="10" t="s">
        <v>875</v>
      </c>
      <c r="P231" s="5"/>
    </row>
    <row r="232" spans="1:16" ht="20.5" customHeight="1">
      <c r="A232" s="5" t="str">
        <f>IF(E232&lt;&gt;"", "A"&amp;UPPER(LEFT(E232, 1)) &amp; TEXT(COUNTIF($E$3:E232, E232), "0000"), "")</f>
        <v>AQ0114</v>
      </c>
      <c r="B232" s="5" t="s">
        <v>878</v>
      </c>
      <c r="C232" s="5" t="s">
        <v>879</v>
      </c>
      <c r="D232" s="5" t="s">
        <v>881</v>
      </c>
      <c r="E232" s="5" t="s">
        <v>41</v>
      </c>
      <c r="F232" s="5" t="s">
        <v>880</v>
      </c>
      <c r="G232" s="5"/>
      <c r="H232" s="5" t="s">
        <v>234</v>
      </c>
      <c r="I232" s="5"/>
      <c r="J232" s="5"/>
      <c r="K232" s="5"/>
      <c r="L232" s="5"/>
      <c r="M232" s="5"/>
      <c r="N232" s="7" t="str">
        <f t="shared" si="4"/>
        <v xml:space="preserve">AQ0114  CV04 overhead belt magnet </v>
      </c>
      <c r="O232" s="10"/>
      <c r="P232" s="5"/>
    </row>
    <row r="233" spans="1:16" ht="20.5" customHeight="1">
      <c r="A233" s="5" t="str">
        <f>IF(E233&lt;&gt;"", "A"&amp;UPPER(LEFT(E233, 1)) &amp; TEXT(COUNTIF($E$3:E233, E233), "0000"), "")</f>
        <v/>
      </c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7" t="str">
        <f t="shared" si="4"/>
        <v xml:space="preserve"> </v>
      </c>
      <c r="O233" s="10"/>
      <c r="P233" s="5"/>
    </row>
    <row r="234" spans="1:16" ht="20.5" customHeight="1">
      <c r="A234" s="5" t="str">
        <f>IF(E234&lt;&gt;"", "A"&amp;UPPER(LEFT(E234, 1)) &amp; TEXT(COUNTIF($E$3:E234, E234), "0000"), "")</f>
        <v/>
      </c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7" t="str">
        <f t="shared" si="4"/>
        <v xml:space="preserve"> </v>
      </c>
      <c r="O234" s="10"/>
      <c r="P234" s="5"/>
    </row>
    <row r="235" spans="1:16" ht="20.5" customHeight="1">
      <c r="A235" s="5" t="str">
        <f>IF(E235&lt;&gt;"", "A"&amp;UPPER(LEFT(E235, 1)) &amp; TEXT(COUNTIF($E$3:E235, E235), "0000"), "")</f>
        <v/>
      </c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7" t="str">
        <f t="shared" si="4"/>
        <v xml:space="preserve"> </v>
      </c>
      <c r="O235" s="10"/>
      <c r="P235" s="5"/>
    </row>
    <row r="236" spans="1:16" ht="20.5" customHeight="1">
      <c r="A236" s="5" t="str">
        <f>IF(E236&lt;&gt;"", "A"&amp;UPPER(LEFT(E236, 1)) &amp; TEXT(COUNTIF($E$3:E236, E236), "0000"), "")</f>
        <v/>
      </c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7" t="str">
        <f t="shared" si="4"/>
        <v xml:space="preserve"> </v>
      </c>
      <c r="O236" s="10"/>
      <c r="P236" s="5"/>
    </row>
    <row r="237" spans="1:16" ht="20.5" customHeight="1">
      <c r="A237" s="5" t="str">
        <f>IF(E237&lt;&gt;"", "A"&amp;UPPER(LEFT(E237, 1)) &amp; TEXT(COUNTIF($E$3:E237, E237), "0000"), "")</f>
        <v/>
      </c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7" t="str">
        <f t="shared" si="4"/>
        <v xml:space="preserve"> </v>
      </c>
      <c r="O237" s="10"/>
      <c r="P237" s="5"/>
    </row>
    <row r="238" spans="1:16" ht="20.5" customHeight="1">
      <c r="A238" s="5" t="str">
        <f>IF(E238&lt;&gt;"", "A"&amp;UPPER(LEFT(E238, 1)) &amp; TEXT(COUNTIF($E$3:E238, E238), "0000"), "")</f>
        <v/>
      </c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7" t="str">
        <f t="shared" si="4"/>
        <v xml:space="preserve"> </v>
      </c>
      <c r="O238" s="10"/>
      <c r="P238" s="5"/>
    </row>
    <row r="239" spans="1:16" ht="20.5" customHeight="1">
      <c r="A239" s="5" t="str">
        <f>IF(E239&lt;&gt;"", "A"&amp;UPPER(LEFT(E239, 1)) &amp; TEXT(COUNTIF($E$3:E239, E239), "0000"), "")</f>
        <v/>
      </c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7" t="str">
        <f t="shared" si="4"/>
        <v xml:space="preserve"> </v>
      </c>
      <c r="O239" s="10"/>
      <c r="P239" s="5"/>
    </row>
    <row r="240" spans="1:16" ht="20.5" customHeight="1">
      <c r="A240" s="5" t="str">
        <f>IF(E240&lt;&gt;"", "A"&amp;UPPER(LEFT(E240, 1)) &amp; TEXT(COUNTIF($E$3:E240, E240), "0000"), "")</f>
        <v/>
      </c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7" t="str">
        <f t="shared" si="4"/>
        <v xml:space="preserve"> </v>
      </c>
      <c r="O240" s="10"/>
      <c r="P240" s="5"/>
    </row>
    <row r="241" spans="1:16" ht="20.5" customHeight="1">
      <c r="A241" s="5" t="str">
        <f>IF(E241&lt;&gt;"", "A"&amp;UPPER(LEFT(E241, 1)) &amp; TEXT(COUNTIF($E$3:E241, E241), "0000"), "")</f>
        <v/>
      </c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7" t="str">
        <f t="shared" si="4"/>
        <v xml:space="preserve"> </v>
      </c>
      <c r="O241" s="10"/>
      <c r="P241" s="5"/>
    </row>
    <row r="242" spans="1:16" ht="20.5" customHeight="1">
      <c r="A242" s="5" t="str">
        <f>IF(E242&lt;&gt;"", "A"&amp;UPPER(LEFT(E242, 1)) &amp; TEXT(COUNTIF($E$3:E242, E242), "0000"), "")</f>
        <v/>
      </c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7" t="str">
        <f t="shared" si="4"/>
        <v xml:space="preserve"> </v>
      </c>
      <c r="O242" s="10"/>
      <c r="P242" s="5"/>
    </row>
    <row r="243" spans="1:16" ht="20.5" customHeight="1">
      <c r="A243" s="5" t="str">
        <f>IF(E243&lt;&gt;"", "A"&amp;UPPER(LEFT(E243, 1)) &amp; TEXT(COUNTIF($E$3:E243, E243), "0000"), "")</f>
        <v/>
      </c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7" t="str">
        <f t="shared" si="4"/>
        <v xml:space="preserve"> </v>
      </c>
      <c r="O243" s="10"/>
      <c r="P243" s="5"/>
    </row>
    <row r="244" spans="1:16" ht="20.5" customHeight="1">
      <c r="A244" s="5" t="str">
        <f>IF(E244&lt;&gt;"", "A"&amp;UPPER(LEFT(E244, 1)) &amp; TEXT(COUNTIF($E$3:E244, E244), "0000"), "")</f>
        <v/>
      </c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7" t="str">
        <f t="shared" si="4"/>
        <v xml:space="preserve"> </v>
      </c>
      <c r="O244" s="10"/>
      <c r="P244" s="5"/>
    </row>
    <row r="245" spans="1:16" ht="20.5" customHeight="1">
      <c r="A245" s="5" t="str">
        <f>IF(E245&lt;&gt;"", "A"&amp;UPPER(LEFT(E245, 1)) &amp; TEXT(COUNTIF($E$3:E245, E245), "0000"), "")</f>
        <v/>
      </c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7" t="str">
        <f t="shared" si="4"/>
        <v xml:space="preserve"> </v>
      </c>
      <c r="O245" s="10"/>
      <c r="P245" s="5"/>
    </row>
    <row r="246" spans="1:16" ht="20.5" customHeight="1">
      <c r="A246" s="5" t="str">
        <f>IF(E246&lt;&gt;"", "A"&amp;UPPER(LEFT(E246, 1)) &amp; TEXT(COUNTIF($E$3:E246, E246), "0000"), "")</f>
        <v/>
      </c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7" t="str">
        <f t="shared" si="4"/>
        <v xml:space="preserve"> </v>
      </c>
      <c r="O246" s="10"/>
      <c r="P246" s="5"/>
    </row>
    <row r="247" spans="1:16" ht="20.5" customHeight="1">
      <c r="A247" s="5" t="str">
        <f>IF(E247&lt;&gt;"", "A"&amp;UPPER(LEFT(E247, 1)) &amp; TEXT(COUNTIF($E$3:E247, E247), "0000"), "")</f>
        <v/>
      </c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7" t="str">
        <f t="shared" si="4"/>
        <v xml:space="preserve"> </v>
      </c>
      <c r="O247" s="10"/>
      <c r="P247" s="5"/>
    </row>
    <row r="248" spans="1:16" ht="20.5" customHeight="1">
      <c r="A248" s="5" t="str">
        <f>IF(E248&lt;&gt;"", "A"&amp;UPPER(LEFT(E248, 1)) &amp; TEXT(COUNTIF($E$3:E248, E248), "0000"), "")</f>
        <v/>
      </c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7" t="str">
        <f t="shared" si="4"/>
        <v xml:space="preserve"> </v>
      </c>
      <c r="O248" s="10"/>
      <c r="P248" s="5"/>
    </row>
    <row r="249" spans="1:16" ht="20.5" customHeight="1">
      <c r="B249" s="5"/>
    </row>
  </sheetData>
  <sheetProtection formatCells="0" formatColumns="0" formatRows="0" insertColumns="0" insertRows="0" insertHyperlinks="0" deleteColumns="0" deleteRows="0"/>
  <autoFilter ref="A2:O248" xr:uid="{98B0B5B8-18B7-4B63-877F-F7A877EDEBD1}"/>
  <mergeCells count="1">
    <mergeCell ref="L1:P1"/>
  </mergeCells>
  <phoneticPr fontId="5" type="noConversion"/>
  <dataValidations count="1">
    <dataValidation type="list" allowBlank="1" showInputMessage="1" showErrorMessage="1" sqref="C3:C248" xr:uid="{47ED87A4-BFDB-45F1-8596-BE2BEAE55C8A}">
      <formula1>INDIRECT(B3)</formula1>
    </dataValidation>
  </dataValidations>
  <hyperlinks>
    <hyperlink ref="O3" r:id="rId1" xr:uid="{EFA78A71-6887-4EF5-9427-232A5E74C0CA}"/>
    <hyperlink ref="O17" r:id="rId2" xr:uid="{07F5343A-1D7E-4266-8058-CE1ED4AFA914}"/>
    <hyperlink ref="O4" r:id="rId3" xr:uid="{0A33FD30-7176-4084-8C66-9A61E11DBE9F}"/>
    <hyperlink ref="O5" r:id="rId4" xr:uid="{A8358C5A-D891-4DF9-B290-80E1BCDCE28B}"/>
    <hyperlink ref="O15" r:id="rId5" xr:uid="{CDD318E9-A8BD-4C5C-803E-E95234D4386D}"/>
    <hyperlink ref="O18" r:id="rId6" xr:uid="{61B9581D-CAC5-40E0-9430-2DBAD4ABEC97}"/>
    <hyperlink ref="O6" r:id="rId7" xr:uid="{F9C157DC-D43C-4C6A-91A3-29834A02F92A}"/>
    <hyperlink ref="O7" r:id="rId8" xr:uid="{5B82B3CD-79E3-41FB-A6F8-878CAAB7A04F}"/>
    <hyperlink ref="O8" r:id="rId9" xr:uid="{1759D7D2-D5F5-4F18-905B-33F3F300953E}"/>
    <hyperlink ref="O9" r:id="rId10" xr:uid="{101204D6-0B75-4586-9567-8E235891BEBC}"/>
    <hyperlink ref="O10" r:id="rId11" xr:uid="{8CC47ADD-A5A9-4036-B0C2-55C1B9FD3E70}"/>
    <hyperlink ref="O11" r:id="rId12" xr:uid="{F7A01052-881D-48D2-B321-A6AC796FA33E}"/>
    <hyperlink ref="O12" r:id="rId13" xr:uid="{28371760-6453-40A5-B31E-EBB321932533}"/>
    <hyperlink ref="O13" r:id="rId14" xr:uid="{D4B1F643-EB32-4B62-B2A8-8BC4C67D00E9}"/>
    <hyperlink ref="O14" r:id="rId15" xr:uid="{25CFAD7C-2D35-46C9-AED1-46C486E34653}"/>
    <hyperlink ref="O16" r:id="rId16" xr:uid="{7450D555-EAA1-4CED-B3D4-2FE091011B75}"/>
    <hyperlink ref="O19" r:id="rId17" xr:uid="{32AAEEF9-3965-4EBF-AA61-080FFF876FF5}"/>
    <hyperlink ref="O21" r:id="rId18" xr:uid="{3CBAB5A1-A261-4B1D-A628-1F4068E087FD}"/>
    <hyperlink ref="O20" r:id="rId19" xr:uid="{03076FD7-07C5-4AD6-B8A7-F413E8717935}"/>
    <hyperlink ref="O22" r:id="rId20" xr:uid="{A969AA84-64EB-4B65-9D00-7E3DD56D07CB}"/>
    <hyperlink ref="O23" r:id="rId21" xr:uid="{B3E3303E-D1F2-4BD1-BEB1-5CEBC6B65656}"/>
    <hyperlink ref="O24" r:id="rId22" xr:uid="{C7677A69-ABEF-48F9-BE78-146CB2AE9734}"/>
    <hyperlink ref="O25" r:id="rId23" xr:uid="{D886B630-8189-4C1A-8996-B1C11FB4ED87}"/>
    <hyperlink ref="O26" r:id="rId24" xr:uid="{27C388B2-BDE6-482B-885B-049EAD71F5CD}"/>
    <hyperlink ref="O27" r:id="rId25" xr:uid="{1F06A10D-4CFF-4621-9D1F-D5137AB9DE7F}"/>
    <hyperlink ref="O28" r:id="rId26" xr:uid="{79EFAD8F-BA9C-463A-A725-5389E47E9D4B}"/>
    <hyperlink ref="O29" r:id="rId27" xr:uid="{543AC97E-C5FE-4899-9275-5C7036EB407E}"/>
    <hyperlink ref="O30" r:id="rId28" xr:uid="{1BB27C91-B6FE-4568-A2B4-D6B881131D6E}"/>
    <hyperlink ref="O31" r:id="rId29" xr:uid="{E3D5DE05-E2BE-4751-BE1E-814D5B1CF515}"/>
    <hyperlink ref="O32" r:id="rId30" xr:uid="{96962B23-F8DE-4F0B-A7CE-59F395EBED13}"/>
    <hyperlink ref="O33" r:id="rId31" xr:uid="{C4040E74-59EB-46DC-A043-460461EBD4DF}"/>
    <hyperlink ref="O34" r:id="rId32" xr:uid="{51865989-E913-4AEA-AE51-0E002C7F0847}"/>
    <hyperlink ref="O35" r:id="rId33" xr:uid="{7C67CB84-00E1-4F31-BF27-404FD0630830}"/>
    <hyperlink ref="O36" r:id="rId34" xr:uid="{9C4F2635-5AC7-47BD-88B9-A241F8F158AE}"/>
    <hyperlink ref="O37" r:id="rId35" xr:uid="{376B3A54-1FD8-4225-89FD-04E07BF3395E}"/>
    <hyperlink ref="O38" r:id="rId36" xr:uid="{E10A40AE-A555-4F1B-8916-C9F1ADC9CE6F}"/>
    <hyperlink ref="O39" r:id="rId37" xr:uid="{909201C3-327F-47E3-AD12-64D36E372E9D}"/>
    <hyperlink ref="O40" r:id="rId38" xr:uid="{849AE4A5-B85C-42B8-B92B-2047DB7310C9}"/>
    <hyperlink ref="O41" r:id="rId39" xr:uid="{0200D1E9-48F2-4299-B6C2-DD7ECF017744}"/>
    <hyperlink ref="O42" r:id="rId40" xr:uid="{E060B943-B3D2-4585-BAB8-15AEAE59BC7D}"/>
    <hyperlink ref="O43" r:id="rId41" xr:uid="{DA4216D4-5A6C-4E59-91FD-5083BE1E1FD2}"/>
    <hyperlink ref="O44" r:id="rId42" xr:uid="{309A9E38-981D-4EEB-9F25-BD6A50DE2005}"/>
    <hyperlink ref="Q29" r:id="rId43" display="../../../../:f:/s/LongiAustralia/Enc1BEep3NVBitfVu2O5_pMBX5n0alO4sUjJbhKihYnL2Q?e=bm9s1U" xr:uid="{60A7FA3E-06C6-4F9E-AD7B-499DE5DFB435}"/>
    <hyperlink ref="O45" r:id="rId44" xr:uid="{A6FDFD7D-D88B-4C1F-B7C5-95053A43456B}"/>
    <hyperlink ref="O46" r:id="rId45" xr:uid="{E430B187-063A-4C1C-9E07-3857156146FE}"/>
    <hyperlink ref="O47" r:id="rId46" xr:uid="{AC0F9706-1062-4314-8CF9-AB8F82D58088}"/>
    <hyperlink ref="O48" r:id="rId47" xr:uid="{39542842-98B0-40EA-978E-32448E38D89B}"/>
    <hyperlink ref="O49" r:id="rId48" xr:uid="{ECDD1E5E-9B0D-4857-83E4-80D17C1326A6}"/>
    <hyperlink ref="O50" r:id="rId49" xr:uid="{A14F3046-E61B-42EE-9D53-E86B8154D296}"/>
    <hyperlink ref="O51" r:id="rId50" xr:uid="{3433DEB4-5DAA-4773-98F8-680F2ECE8626}"/>
    <hyperlink ref="O52" r:id="rId51" xr:uid="{AF1A9E72-F134-4C66-A44E-AD4CDAD689F6}"/>
    <hyperlink ref="O53" r:id="rId52" xr:uid="{DF4480BB-662E-4E18-B5B4-C165894565FF}"/>
    <hyperlink ref="O54" r:id="rId53" xr:uid="{8851C390-FFF2-439B-AD15-0C0A6EB9861A}"/>
    <hyperlink ref="O55" r:id="rId54" xr:uid="{B2D9C29B-0E83-41F2-9150-1DAC6F26B9F4}"/>
    <hyperlink ref="O56" r:id="rId55" xr:uid="{C5DC7E93-7DE4-453B-A449-A4981ED22C8E}"/>
    <hyperlink ref="O57" r:id="rId56" xr:uid="{A94DBE89-8D42-4E2E-BA3E-826D9899E28C}"/>
    <hyperlink ref="O58" r:id="rId57" xr:uid="{D9AF15C0-6D93-4EC3-97CB-63D9A4702F14}"/>
    <hyperlink ref="O59" r:id="rId58" xr:uid="{25AF29AB-4557-4BCE-BF36-3DB31D0FE6BE}"/>
    <hyperlink ref="O60" r:id="rId59" xr:uid="{55A0C6AD-15A8-4FC7-84EC-F97C90FD6B90}"/>
    <hyperlink ref="O61" r:id="rId60" xr:uid="{192D66FD-AC68-4D40-B309-138193D6D9FF}"/>
    <hyperlink ref="O62" r:id="rId61" xr:uid="{3288E2CC-618C-492C-9672-3544678563E3}"/>
    <hyperlink ref="O63" r:id="rId62" xr:uid="{33FFFC51-DB99-4191-9963-52A995BAF2B4}"/>
    <hyperlink ref="O64" r:id="rId63" xr:uid="{39A223C5-96FB-48F7-9F5F-38415DAAAEC1}"/>
    <hyperlink ref="O65" r:id="rId64" xr:uid="{4433FAF2-E83B-4153-BCC3-563D3323D13A}"/>
    <hyperlink ref="O66" r:id="rId65" xr:uid="{5E988F9A-8DF2-41F8-BFC4-0A8FEBD5663F}"/>
    <hyperlink ref="O67" r:id="rId66" xr:uid="{ED0EB3D6-A48C-4574-9215-22F4E70B5724}"/>
    <hyperlink ref="O68" r:id="rId67" xr:uid="{1BAE72A2-7581-44EC-978A-6C1484C740DF}"/>
    <hyperlink ref="O69" r:id="rId68" xr:uid="{4989CB57-F2E7-4B5C-AF62-C8C490EEDA1A}"/>
    <hyperlink ref="O70" r:id="rId69" xr:uid="{9B156F74-FE81-4D64-A6A1-A5E440C18A33}"/>
    <hyperlink ref="O71" r:id="rId70" xr:uid="{3758A60B-33F4-4094-818F-409031F6AC92}"/>
    <hyperlink ref="O72" r:id="rId71" xr:uid="{531D2DFA-667E-402A-9D79-FDE2141E5B35}"/>
    <hyperlink ref="O73" r:id="rId72" xr:uid="{C47DEF21-EF7E-439E-A839-D6912D78BEEB}"/>
    <hyperlink ref="O74" r:id="rId73" xr:uid="{C348EEDB-9D81-4FA1-90DA-E4ED03713C0D}"/>
    <hyperlink ref="O75" r:id="rId74" xr:uid="{FA3115E9-E958-47A5-BF94-D47C5C3AE3B4}"/>
    <hyperlink ref="O76" r:id="rId75" xr:uid="{E0A6B9F6-870B-41F9-9EA2-DF4D56553FFE}"/>
    <hyperlink ref="O77" r:id="rId76" xr:uid="{21D93897-14C5-4079-8A11-6D8FEED8F6E8}"/>
    <hyperlink ref="O78" r:id="rId77" xr:uid="{4B884335-DAF8-4A11-94F4-C124A144ABD4}"/>
    <hyperlink ref="O79" r:id="rId78" xr:uid="{DB53349F-3D93-4F65-8786-3C72C080674A}"/>
    <hyperlink ref="O80" r:id="rId79" xr:uid="{F0D93060-7AB1-4D22-B39F-1768E36FB9DC}"/>
    <hyperlink ref="O81" r:id="rId80" xr:uid="{ADACAD31-8C76-4752-9324-EDF863F58560}"/>
    <hyperlink ref="O82" r:id="rId81" xr:uid="{7938508F-18D0-4D29-902C-75162DC6886B}"/>
    <hyperlink ref="O83" r:id="rId82" xr:uid="{1B7C3B48-F370-42C4-A046-57794B313BBF}"/>
    <hyperlink ref="O84" r:id="rId83" xr:uid="{BAB24642-E56C-4A16-A57B-505BE059F85D}"/>
    <hyperlink ref="O85" r:id="rId84" xr:uid="{2F36880A-1FA3-42DB-A80F-9BE3ADB23A61}"/>
    <hyperlink ref="O86" r:id="rId85" xr:uid="{364AB7B7-23CB-4FCB-BD7E-2E7EAA8E2B23}"/>
    <hyperlink ref="O87" r:id="rId86" xr:uid="{072D9A13-C37E-46C5-AE6C-03DFA2E64EDF}"/>
    <hyperlink ref="O88" r:id="rId87" xr:uid="{BE7A5FD3-7B7F-4F17-BE59-7CB0B79B397F}"/>
    <hyperlink ref="O89" r:id="rId88" xr:uid="{DF0B9E1F-C3B1-444E-B4F7-7AE5F07F0FE4}"/>
    <hyperlink ref="O90" r:id="rId89" xr:uid="{CBC4F60B-65B1-49DF-84E5-CDFC28227D2A}"/>
    <hyperlink ref="O91" r:id="rId90" xr:uid="{2FC7E4FA-AC0F-4DC7-8ADA-F44AA7160B09}"/>
    <hyperlink ref="O92" r:id="rId91" xr:uid="{8E58867C-A1B3-43BD-8658-04CEB7869D8A}"/>
    <hyperlink ref="O93" r:id="rId92" xr:uid="{5EED8A75-F3E0-4639-9520-09E8E47E0B4F}"/>
    <hyperlink ref="O94" r:id="rId93" xr:uid="{3DD9C499-0022-4004-A634-BD9B288C9E3D}"/>
    <hyperlink ref="O95" r:id="rId94" xr:uid="{FBAFD243-AE2A-4E9C-A920-D2488F087C51}"/>
    <hyperlink ref="O96" r:id="rId95" xr:uid="{7072200C-1606-4E73-B262-CFB54B6AB625}"/>
    <hyperlink ref="O97" r:id="rId96" xr:uid="{162B494C-8D10-4B89-BB2A-2B96D39F6F63}"/>
    <hyperlink ref="O98" r:id="rId97" xr:uid="{81607802-87F7-4776-B7D1-517CE0F96594}"/>
    <hyperlink ref="O99" r:id="rId98" xr:uid="{4F5B77C9-8C1A-4DAB-82C9-9CC30CCF19F3}"/>
    <hyperlink ref="O100" r:id="rId99" xr:uid="{F8E1296E-6FBC-4701-B7AE-B47E20502DEE}"/>
    <hyperlink ref="O101" r:id="rId100" xr:uid="{AB46F1CF-72AE-4AD0-A73C-80AADEC73909}"/>
    <hyperlink ref="O102" r:id="rId101" xr:uid="{420E7D06-DE63-4FF4-90DD-802B894D2E6F}"/>
    <hyperlink ref="O103" r:id="rId102" xr:uid="{AF9F42C8-B3A6-473E-A12C-BA9553EE7789}"/>
    <hyperlink ref="O104" r:id="rId103" xr:uid="{0FBE0847-54D6-4B4A-8CDD-2315B8894942}"/>
    <hyperlink ref="O105" r:id="rId104" xr:uid="{9475ED9F-3F85-42FE-B0F6-91C86860B5BA}"/>
    <hyperlink ref="O106" r:id="rId105" xr:uid="{9E2B20E9-A9F8-4B10-B2C5-84FCAAEB7EA4}"/>
    <hyperlink ref="O107" r:id="rId106" xr:uid="{BB095EFF-38A4-42DE-8E76-43BE89901BE7}"/>
    <hyperlink ref="O108" r:id="rId107" xr:uid="{EAC25EA5-F6B6-4BBE-A1B2-1AF81283323C}"/>
    <hyperlink ref="O109" r:id="rId108" xr:uid="{9DDCFFFE-4F1D-41C4-8EA9-423B5F257252}"/>
    <hyperlink ref="O110" r:id="rId109" xr:uid="{34981BAD-A5A5-44B5-9E2F-C4A17B4ABA57}"/>
    <hyperlink ref="O111" r:id="rId110" xr:uid="{BDBBB858-24E1-4674-AE5E-B94D75B548E6}"/>
    <hyperlink ref="O112" r:id="rId111" xr:uid="{0C670155-74B7-4B1E-ADBD-82DA57E04F2F}"/>
    <hyperlink ref="O113" r:id="rId112" xr:uid="{669DDF85-5730-4A4F-A671-BDD02B097137}"/>
    <hyperlink ref="O114" r:id="rId113" xr:uid="{15EF3970-6AA2-4319-B0FA-B301CE8EE194}"/>
    <hyperlink ref="O115" r:id="rId114" xr:uid="{2E74235D-73DF-476A-97B8-BB436E3C2985}"/>
    <hyperlink ref="O116" r:id="rId115" xr:uid="{78B87E50-6EE5-43B4-89F9-B5C1272F962E}"/>
    <hyperlink ref="O117" r:id="rId116" xr:uid="{1FB1923D-EB3C-43A8-A1E5-718B80F1ABEF}"/>
    <hyperlink ref="O118" r:id="rId117" xr:uid="{A323A329-A8B6-4C18-9D30-E5FDD252B3B8}"/>
    <hyperlink ref="O119" r:id="rId118" xr:uid="{CE0DBC5F-E779-4B03-A2BD-CF9427F25C26}"/>
    <hyperlink ref="O120" r:id="rId119" xr:uid="{02B89337-BBAC-4A01-BF5F-A27EA1830FDD}"/>
    <hyperlink ref="O121" r:id="rId120" xr:uid="{082DA494-BF9B-42F1-8AC5-A858C3A24A00}"/>
    <hyperlink ref="O122" r:id="rId121" xr:uid="{D5FA58FD-37B6-4EA6-98A3-D704E079407F}"/>
    <hyperlink ref="O123" r:id="rId122" xr:uid="{B55EE71F-934D-40D0-97CC-0C8EAECA2D44}"/>
    <hyperlink ref="O124" r:id="rId123" xr:uid="{EE0A2F84-363A-43EC-93CC-E9D2A4D06C7C}"/>
    <hyperlink ref="O125" r:id="rId124" xr:uid="{1AE71B18-51CF-461C-B37D-253920A59BB7}"/>
    <hyperlink ref="O126" r:id="rId125" xr:uid="{F4C73DDD-9B9C-4920-916D-0311069F4EDF}"/>
    <hyperlink ref="O127" r:id="rId126" xr:uid="{6D6B5A56-27C5-4F4F-A693-93256EC3E802}"/>
    <hyperlink ref="O128" r:id="rId127" xr:uid="{B94CC7E0-DAEB-4669-A587-09B8AE211B6A}"/>
    <hyperlink ref="O129" r:id="rId128" xr:uid="{5F756900-36B5-498F-AB4D-F1246E4D76EF}"/>
    <hyperlink ref="O130" r:id="rId129" xr:uid="{1DE76931-1AF2-4D65-BEDF-D133C33C9BA4}"/>
    <hyperlink ref="O131" r:id="rId130" xr:uid="{D6D9EC39-21EA-43C1-BDAB-08DFE8968E59}"/>
    <hyperlink ref="O132" r:id="rId131" xr:uid="{E7D34B79-0970-4D27-B159-76158DC6B8A2}"/>
    <hyperlink ref="O133" r:id="rId132" xr:uid="{93B38A13-E54B-4ED7-B851-855F5029DBB9}"/>
    <hyperlink ref="O134" r:id="rId133" xr:uid="{A6607DB7-84AA-4320-A6C8-F12E79A2FA20}"/>
    <hyperlink ref="O135" r:id="rId134" xr:uid="{EFE7F392-87E3-49D8-B688-47E34BE2B10C}"/>
    <hyperlink ref="O136" r:id="rId135" xr:uid="{2C103542-0564-4F3B-9548-70F0717C4369}"/>
    <hyperlink ref="O137" r:id="rId136" xr:uid="{39A68B4A-A641-40D5-892E-D135D0B2E76C}"/>
    <hyperlink ref="O138" r:id="rId137" xr:uid="{F29AA36A-1837-4D20-9BBF-CB1597254B83}"/>
    <hyperlink ref="O139" r:id="rId138" xr:uid="{76BBA67E-1737-40AF-BD95-8F02AF0188A5}"/>
    <hyperlink ref="O140" r:id="rId139" xr:uid="{953F700F-2547-46E1-87F8-E09B1F1A9640}"/>
    <hyperlink ref="O141" r:id="rId140" xr:uid="{1CEB85E2-8EC1-4FF9-A609-759A4143E410}"/>
    <hyperlink ref="O142" r:id="rId141" xr:uid="{6D01A32B-8CB5-4F09-94A5-CF406E4DE5B9}"/>
    <hyperlink ref="O143" r:id="rId142" xr:uid="{3320C70E-0D1B-4B5C-9ED5-03F66F23BEC9}"/>
    <hyperlink ref="O144" r:id="rId143" xr:uid="{2458BC55-0275-4B97-AC9E-763AE16E4274}"/>
    <hyperlink ref="O145" r:id="rId144" xr:uid="{47A2901E-412C-48F2-BCE4-F66AE75CC233}"/>
    <hyperlink ref="O146" r:id="rId145" xr:uid="{B5A0BF11-C0D5-4803-89BB-5577FE6596D3}"/>
    <hyperlink ref="O147" r:id="rId146" xr:uid="{ED2234D0-4254-4CB2-893A-94873B39E9EE}"/>
    <hyperlink ref="O148" r:id="rId147" xr:uid="{4DA27677-AB3B-4525-8B69-2F1679BBCF5B}"/>
    <hyperlink ref="O149" r:id="rId148" xr:uid="{F173C6D1-C52F-483D-8BBA-F34FEE848F98}"/>
    <hyperlink ref="O150" r:id="rId149" xr:uid="{001DECC8-CD7E-4444-B31E-9840BB5CDDEF}"/>
    <hyperlink ref="O151" r:id="rId150" xr:uid="{0D6D28FF-219F-4968-81A6-DBFA4F443827}"/>
    <hyperlink ref="O152" r:id="rId151" xr:uid="{40A057AF-5BFC-49F4-B714-24BD1A85D9EF}"/>
    <hyperlink ref="O154" r:id="rId152" xr:uid="{7B30ABEC-6137-4359-A7CD-3369A99A85BD}"/>
    <hyperlink ref="O155" r:id="rId153" xr:uid="{EB31C657-58E2-4D0E-8DDA-9CC5DA790C8B}"/>
    <hyperlink ref="O156" r:id="rId154" xr:uid="{BAEA3801-567A-4D56-93CC-69D878E1A63C}"/>
    <hyperlink ref="O157" r:id="rId155" xr:uid="{4B2CF921-0CE3-405F-BACA-8D8610C43160}"/>
    <hyperlink ref="O159" r:id="rId156" xr:uid="{60914BCB-EFF0-4B6C-A44E-9368F70D53AF}"/>
    <hyperlink ref="O158" r:id="rId157" xr:uid="{2DA11356-358B-4264-9AF9-10534991165B}"/>
    <hyperlink ref="O160" r:id="rId158" xr:uid="{1B15AFA1-0CFC-4E86-9D30-70DCCDF98276}"/>
    <hyperlink ref="O161" r:id="rId159" xr:uid="{BC1D8FEA-C5AD-4890-8D80-16E986B52DAC}"/>
    <hyperlink ref="O162" r:id="rId160" xr:uid="{8B95C55C-158C-4196-9095-502DB46047C8}"/>
    <hyperlink ref="O163" r:id="rId161" xr:uid="{9C1571C2-C37A-43BD-AA08-7CE5E2CAB935}"/>
    <hyperlink ref="O164" r:id="rId162" xr:uid="{5E2E4EFF-C2DD-4FFE-98FD-F0B3BD7A8806}"/>
    <hyperlink ref="O165" r:id="rId163" xr:uid="{55710814-FF38-4B07-A722-9C34C099A9B2}"/>
    <hyperlink ref="O166" r:id="rId164" xr:uid="{D0759098-F0D1-42F3-9F1B-E44BFED85163}"/>
    <hyperlink ref="O167" r:id="rId165" xr:uid="{049E435E-109C-4379-98FC-42EA00B11E3A}"/>
    <hyperlink ref="O168" r:id="rId166" xr:uid="{D5AC7F61-1692-43E7-BF3C-4CA8C7233A46}"/>
    <hyperlink ref="O169" r:id="rId167" xr:uid="{11DD06FD-B203-4EA9-A90F-C66727394558}"/>
    <hyperlink ref="O170" r:id="rId168" xr:uid="{9CEB0506-4823-4531-991E-E99CE8634A3E}"/>
    <hyperlink ref="O171" r:id="rId169" xr:uid="{A4A7E12E-F81C-4211-A890-C58DFEB98ADD}"/>
    <hyperlink ref="O172" r:id="rId170" xr:uid="{5927ACD1-CB11-46E5-8B19-245730DB3EA4}"/>
    <hyperlink ref="O173" r:id="rId171" xr:uid="{05A1A473-7754-473E-A0E3-5684759DEA8C}"/>
    <hyperlink ref="O176" r:id="rId172" xr:uid="{55CD698B-6D27-4F3D-822C-52270FD4EEDF}"/>
    <hyperlink ref="O174" r:id="rId173" xr:uid="{47A5078B-938A-44E9-AD34-E2A338D2311D}"/>
    <hyperlink ref="O175" r:id="rId174" xr:uid="{A9FF9B66-1281-472D-9223-6D20A116AEC8}"/>
    <hyperlink ref="O177" r:id="rId175" xr:uid="{C33A2156-230D-45AA-BF7F-B06BC21556E2}"/>
    <hyperlink ref="O178" r:id="rId176" xr:uid="{0F7D0025-D094-4402-81C6-A05C6FDFBE61}"/>
    <hyperlink ref="O179" r:id="rId177" xr:uid="{4D23E220-EE7C-4FA3-AA4C-D57481095548}"/>
    <hyperlink ref="O180" r:id="rId178" xr:uid="{A66C14BC-9D20-4436-ACDD-2350EF95BEF5}"/>
    <hyperlink ref="O181" r:id="rId179" xr:uid="{35328346-B27A-42E3-B5B2-0D873861C7CF}"/>
    <hyperlink ref="O182" r:id="rId180" xr:uid="{1BF6053F-7129-4C9C-9D41-E23DD46BE4BB}"/>
    <hyperlink ref="O183" r:id="rId181" xr:uid="{CC3CF410-5737-4DAF-9DD0-2EF9B977534E}"/>
    <hyperlink ref="O184" r:id="rId182" xr:uid="{A358E0C6-4845-4077-85C4-B6EE063C7793}"/>
    <hyperlink ref="O185" r:id="rId183" xr:uid="{58EA17C0-9B80-4439-B4B8-BEE45C093CA1}"/>
    <hyperlink ref="O186" r:id="rId184" xr:uid="{11723F73-5A39-4A66-88B2-9ED433479750}"/>
    <hyperlink ref="O187" r:id="rId185" xr:uid="{E8B2E938-1C2D-49D9-A443-D803DA577566}"/>
    <hyperlink ref="O188" r:id="rId186" xr:uid="{CD413060-C45E-4B2B-AEB6-8F04A42301E6}"/>
    <hyperlink ref="O189" r:id="rId187" xr:uid="{D3D8B573-17B2-40C4-AEA5-F4035D6E93CC}"/>
    <hyperlink ref="O190" r:id="rId188" xr:uid="{9B1A2A2A-E81F-4CBF-B050-B0230E7BAA06}"/>
    <hyperlink ref="O191" r:id="rId189" xr:uid="{4ADB9A3D-D765-47F8-A6B2-621CB0A17C4C}"/>
    <hyperlink ref="O192" r:id="rId190" xr:uid="{CE476CC6-3FA9-437E-B233-04FD27C7C3F8}"/>
    <hyperlink ref="O193" r:id="rId191" xr:uid="{E62DA144-3278-48C7-BB90-69BD57F495E2}"/>
    <hyperlink ref="O194" r:id="rId192" xr:uid="{386AC56A-D1C3-4A9B-A80C-50175B1B40F2}"/>
    <hyperlink ref="O195" r:id="rId193" xr:uid="{A348B715-6A28-4FA7-865E-FBF2442FE4E5}"/>
    <hyperlink ref="O196" r:id="rId194" xr:uid="{90612458-AC26-47E6-AA21-AB74976D5BCC}"/>
    <hyperlink ref="O197" r:id="rId195" xr:uid="{F7DF1984-1E0E-4E9B-B1A5-E962323D49E9}"/>
    <hyperlink ref="O198" r:id="rId196" xr:uid="{C18101D9-F7FC-48B8-BD0F-69D7FA5A383D}"/>
    <hyperlink ref="O199" r:id="rId197" xr:uid="{0AC62572-28E6-4E2E-83EF-9D4FCC670639}"/>
    <hyperlink ref="O200" r:id="rId198" xr:uid="{7F6B1B65-0967-4496-874E-1F9178A466A1}"/>
    <hyperlink ref="O201" r:id="rId199" xr:uid="{E7A7789B-2D13-4ADC-B93A-7D227BB3DE7F}"/>
    <hyperlink ref="O202" r:id="rId200" xr:uid="{8E691612-E644-440E-95BB-CF99760DF1D5}"/>
    <hyperlink ref="O203" r:id="rId201" xr:uid="{5E6BED37-19EA-4711-B4EB-24F70D7E01AE}"/>
    <hyperlink ref="O204" r:id="rId202" xr:uid="{7BCF590D-A3D5-4B8F-B381-F5C88E44BF9C}"/>
    <hyperlink ref="O205" r:id="rId203" xr:uid="{F84D1783-431C-42AB-BD20-873A2CB53FE1}"/>
    <hyperlink ref="O206" r:id="rId204" xr:uid="{104C3DA5-9082-4BC8-8F75-5213B7AC6F43}"/>
    <hyperlink ref="O207" r:id="rId205" xr:uid="{FE724BBB-91BA-4B0E-8D94-846A552A9501}"/>
    <hyperlink ref="O208" r:id="rId206" xr:uid="{90E1E3B0-3819-4F59-A130-F61A042727CE}"/>
    <hyperlink ref="O209" r:id="rId207" xr:uid="{EF389922-A8B0-4696-A73D-5E641C22B0BB}"/>
    <hyperlink ref="O211" r:id="rId208" xr:uid="{E8347905-EB9D-47EC-A956-4A885251A7D3}"/>
    <hyperlink ref="O212" r:id="rId209" xr:uid="{103B566B-50AA-463D-AACB-75F8A346EFF5}"/>
    <hyperlink ref="O210" r:id="rId210" xr:uid="{AA57EF34-257E-41CF-A061-706126C40E41}"/>
    <hyperlink ref="O213" r:id="rId211" xr:uid="{92EF5AF7-88E8-4DDB-AE5F-3C50E8A5627D}"/>
    <hyperlink ref="O214" r:id="rId212" xr:uid="{8DEF6052-BBE1-4487-803F-BE0152C40ADE}"/>
    <hyperlink ref="O215" r:id="rId213" xr:uid="{B82E43C9-74BF-4931-982F-C531632CB4ED}"/>
    <hyperlink ref="O216" r:id="rId214" xr:uid="{1C611E89-7288-4DED-8F44-E3212442B909}"/>
    <hyperlink ref="O217" r:id="rId215" xr:uid="{0C704305-165F-4F07-95E7-AD56F517AAE4}"/>
    <hyperlink ref="O218" r:id="rId216" xr:uid="{45E6372E-9C5B-40B5-AC17-FE794E613861}"/>
    <hyperlink ref="O219" r:id="rId217" xr:uid="{861C9658-978D-41F0-89BE-37178A13B924}"/>
    <hyperlink ref="O220" r:id="rId218" xr:uid="{D57ED535-BECB-420E-9DE0-6C9A69C5CF80}"/>
    <hyperlink ref="O221" r:id="rId219" xr:uid="{1330E0D3-9A31-4605-9E5F-888DABA0C32E}"/>
    <hyperlink ref="O222" r:id="rId220" xr:uid="{619B2E10-0FD5-4B26-8CC7-3481F97D2598}"/>
    <hyperlink ref="O223" r:id="rId221" xr:uid="{7CB68F74-152E-4E20-9BAD-21F7492292BE}"/>
    <hyperlink ref="O224" r:id="rId222" xr:uid="{8E96EEFE-A47B-43AA-92F9-F66626C300BA}"/>
    <hyperlink ref="O226" r:id="rId223" xr:uid="{74BF73EC-99BF-4242-92CF-2ACAD07E7379}"/>
    <hyperlink ref="O225" r:id="rId224" xr:uid="{A36BB258-1FB0-42D6-98C1-EBCAA84F0B1D}"/>
    <hyperlink ref="O228" r:id="rId225" xr:uid="{BCE4E485-EC96-4558-8714-6C21CC770723}"/>
    <hyperlink ref="O229" r:id="rId226" xr:uid="{CEEFD716-900A-4ABB-B9BE-D38D50473632}"/>
    <hyperlink ref="O230" r:id="rId227" xr:uid="{1B8CE272-1A49-4D7D-A0CB-9444DC415161}"/>
    <hyperlink ref="O231" r:id="rId228" xr:uid="{DA2C3C4B-0144-4517-9629-418C188FEAEB}"/>
  </hyperlinks>
  <pageMargins left="0.7" right="0.7" top="0.75" bottom="0.75" header="0.3" footer="0.3"/>
  <pageSetup scale="27" orientation="landscape" r:id="rId229"/>
  <drawing r:id="rId230"/>
  <legacyDrawing r:id="rId2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232" name="Button 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</xdr:row>
                    <xdr:rowOff>31750</xdr:rowOff>
                  </from>
                  <to>
                    <xdr:col>15</xdr:col>
                    <xdr:colOff>565150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233" name="Button 1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</xdr:row>
                    <xdr:rowOff>31750</xdr:rowOff>
                  </from>
                  <to>
                    <xdr:col>15</xdr:col>
                    <xdr:colOff>565150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234" name="Button 1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</xdr:row>
                    <xdr:rowOff>31750</xdr:rowOff>
                  </from>
                  <to>
                    <xdr:col>15</xdr:col>
                    <xdr:colOff>565150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35" name="Button 1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</xdr:row>
                    <xdr:rowOff>31750</xdr:rowOff>
                  </from>
                  <to>
                    <xdr:col>15</xdr:col>
                    <xdr:colOff>565150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36" name="Button 1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</xdr:row>
                    <xdr:rowOff>31750</xdr:rowOff>
                  </from>
                  <to>
                    <xdr:col>15</xdr:col>
                    <xdr:colOff>565150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37" name="Button 1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</xdr:row>
                    <xdr:rowOff>31750</xdr:rowOff>
                  </from>
                  <to>
                    <xdr:col>15</xdr:col>
                    <xdr:colOff>565150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238" name="Button 1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</xdr:row>
                    <xdr:rowOff>31750</xdr:rowOff>
                  </from>
                  <to>
                    <xdr:col>15</xdr:col>
                    <xdr:colOff>565150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39" name="Button 1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</xdr:row>
                    <xdr:rowOff>31750</xdr:rowOff>
                  </from>
                  <to>
                    <xdr:col>15</xdr:col>
                    <xdr:colOff>565150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40" name="Button 1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</xdr:row>
                    <xdr:rowOff>31750</xdr:rowOff>
                  </from>
                  <to>
                    <xdr:col>15</xdr:col>
                    <xdr:colOff>565150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1" name="Button 1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</xdr:row>
                    <xdr:rowOff>31750</xdr:rowOff>
                  </from>
                  <to>
                    <xdr:col>15</xdr:col>
                    <xdr:colOff>565150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42" name="Button 2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12</xdr:row>
                    <xdr:rowOff>31750</xdr:rowOff>
                  </from>
                  <to>
                    <xdr:col>15</xdr:col>
                    <xdr:colOff>565150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3" name="Button 2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13</xdr:row>
                    <xdr:rowOff>31750</xdr:rowOff>
                  </from>
                  <to>
                    <xdr:col>15</xdr:col>
                    <xdr:colOff>565150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4" name="Button 2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14</xdr:row>
                    <xdr:rowOff>31750</xdr:rowOff>
                  </from>
                  <to>
                    <xdr:col>15</xdr:col>
                    <xdr:colOff>565150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5" name="Button 2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15</xdr:row>
                    <xdr:rowOff>31750</xdr:rowOff>
                  </from>
                  <to>
                    <xdr:col>15</xdr:col>
                    <xdr:colOff>565150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6" name="Button 2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16</xdr:row>
                    <xdr:rowOff>31750</xdr:rowOff>
                  </from>
                  <to>
                    <xdr:col>15</xdr:col>
                    <xdr:colOff>565150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47" name="Button 2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17</xdr:row>
                    <xdr:rowOff>31750</xdr:rowOff>
                  </from>
                  <to>
                    <xdr:col>15</xdr:col>
                    <xdr:colOff>565150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8" name="Button 2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18</xdr:row>
                    <xdr:rowOff>31750</xdr:rowOff>
                  </from>
                  <to>
                    <xdr:col>15</xdr:col>
                    <xdr:colOff>565150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49" name="Button 2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19</xdr:row>
                    <xdr:rowOff>31750</xdr:rowOff>
                  </from>
                  <to>
                    <xdr:col>15</xdr:col>
                    <xdr:colOff>565150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50" name="Button 2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20</xdr:row>
                    <xdr:rowOff>31750</xdr:rowOff>
                  </from>
                  <to>
                    <xdr:col>15</xdr:col>
                    <xdr:colOff>565150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51" name="Button 2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21</xdr:row>
                    <xdr:rowOff>31750</xdr:rowOff>
                  </from>
                  <to>
                    <xdr:col>15</xdr:col>
                    <xdr:colOff>565150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2" name="Button 3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22</xdr:row>
                    <xdr:rowOff>31750</xdr:rowOff>
                  </from>
                  <to>
                    <xdr:col>15</xdr:col>
                    <xdr:colOff>565150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3" name="Button 3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23</xdr:row>
                    <xdr:rowOff>31750</xdr:rowOff>
                  </from>
                  <to>
                    <xdr:col>15</xdr:col>
                    <xdr:colOff>565150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54" name="Button 3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24</xdr:row>
                    <xdr:rowOff>31750</xdr:rowOff>
                  </from>
                  <to>
                    <xdr:col>15</xdr:col>
                    <xdr:colOff>565150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55" name="Button 3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25</xdr:row>
                    <xdr:rowOff>31750</xdr:rowOff>
                  </from>
                  <to>
                    <xdr:col>15</xdr:col>
                    <xdr:colOff>565150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6" name="Button 3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26</xdr:row>
                    <xdr:rowOff>31750</xdr:rowOff>
                  </from>
                  <to>
                    <xdr:col>15</xdr:col>
                    <xdr:colOff>565150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7" name="Button 3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27</xdr:row>
                    <xdr:rowOff>31750</xdr:rowOff>
                  </from>
                  <to>
                    <xdr:col>15</xdr:col>
                    <xdr:colOff>565150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8" name="Button 3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28</xdr:row>
                    <xdr:rowOff>31750</xdr:rowOff>
                  </from>
                  <to>
                    <xdr:col>15</xdr:col>
                    <xdr:colOff>565150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59" name="Button 3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29</xdr:row>
                    <xdr:rowOff>31750</xdr:rowOff>
                  </from>
                  <to>
                    <xdr:col>15</xdr:col>
                    <xdr:colOff>565150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60" name="Button 3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30</xdr:row>
                    <xdr:rowOff>31750</xdr:rowOff>
                  </from>
                  <to>
                    <xdr:col>15</xdr:col>
                    <xdr:colOff>565150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61" name="Button 3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31</xdr:row>
                    <xdr:rowOff>31750</xdr:rowOff>
                  </from>
                  <to>
                    <xdr:col>15</xdr:col>
                    <xdr:colOff>565150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62" name="Button 4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32</xdr:row>
                    <xdr:rowOff>31750</xdr:rowOff>
                  </from>
                  <to>
                    <xdr:col>15</xdr:col>
                    <xdr:colOff>565150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63" name="Button 4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33</xdr:row>
                    <xdr:rowOff>31750</xdr:rowOff>
                  </from>
                  <to>
                    <xdr:col>15</xdr:col>
                    <xdr:colOff>565150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64" name="Button 4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34</xdr:row>
                    <xdr:rowOff>31750</xdr:rowOff>
                  </from>
                  <to>
                    <xdr:col>15</xdr:col>
                    <xdr:colOff>565150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65" name="Button 4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35</xdr:row>
                    <xdr:rowOff>31750</xdr:rowOff>
                  </from>
                  <to>
                    <xdr:col>15</xdr:col>
                    <xdr:colOff>565150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6" name="Button 4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36</xdr:row>
                    <xdr:rowOff>31750</xdr:rowOff>
                  </from>
                  <to>
                    <xdr:col>15</xdr:col>
                    <xdr:colOff>565150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7" name="Button 4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37</xdr:row>
                    <xdr:rowOff>31750</xdr:rowOff>
                  </from>
                  <to>
                    <xdr:col>15</xdr:col>
                    <xdr:colOff>565150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8" name="Button 4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38</xdr:row>
                    <xdr:rowOff>31750</xdr:rowOff>
                  </from>
                  <to>
                    <xdr:col>15</xdr:col>
                    <xdr:colOff>565150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69" name="Button 4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39</xdr:row>
                    <xdr:rowOff>31750</xdr:rowOff>
                  </from>
                  <to>
                    <xdr:col>15</xdr:col>
                    <xdr:colOff>565150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70" name="Button 4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40</xdr:row>
                    <xdr:rowOff>31750</xdr:rowOff>
                  </from>
                  <to>
                    <xdr:col>15</xdr:col>
                    <xdr:colOff>565150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71" name="Button 4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41</xdr:row>
                    <xdr:rowOff>31750</xdr:rowOff>
                  </from>
                  <to>
                    <xdr:col>15</xdr:col>
                    <xdr:colOff>565150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72" name="Button 5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42</xdr:row>
                    <xdr:rowOff>31750</xdr:rowOff>
                  </from>
                  <to>
                    <xdr:col>15</xdr:col>
                    <xdr:colOff>565150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3" name="Button 5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43</xdr:row>
                    <xdr:rowOff>31750</xdr:rowOff>
                  </from>
                  <to>
                    <xdr:col>15</xdr:col>
                    <xdr:colOff>565150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74" name="Button 5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44</xdr:row>
                    <xdr:rowOff>31750</xdr:rowOff>
                  </from>
                  <to>
                    <xdr:col>15</xdr:col>
                    <xdr:colOff>565150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75" name="Button 5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45</xdr:row>
                    <xdr:rowOff>31750</xdr:rowOff>
                  </from>
                  <to>
                    <xdr:col>15</xdr:col>
                    <xdr:colOff>565150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76" name="Button 5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46</xdr:row>
                    <xdr:rowOff>31750</xdr:rowOff>
                  </from>
                  <to>
                    <xdr:col>15</xdr:col>
                    <xdr:colOff>565150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77" name="Button 5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47</xdr:row>
                    <xdr:rowOff>31750</xdr:rowOff>
                  </from>
                  <to>
                    <xdr:col>15</xdr:col>
                    <xdr:colOff>565150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78" name="Button 5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48</xdr:row>
                    <xdr:rowOff>31750</xdr:rowOff>
                  </from>
                  <to>
                    <xdr:col>15</xdr:col>
                    <xdr:colOff>565150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79" name="Button 5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49</xdr:row>
                    <xdr:rowOff>31750</xdr:rowOff>
                  </from>
                  <to>
                    <xdr:col>15</xdr:col>
                    <xdr:colOff>565150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80" name="Button 5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50</xdr:row>
                    <xdr:rowOff>31750</xdr:rowOff>
                  </from>
                  <to>
                    <xdr:col>15</xdr:col>
                    <xdr:colOff>565150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81" name="Button 5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51</xdr:row>
                    <xdr:rowOff>31750</xdr:rowOff>
                  </from>
                  <to>
                    <xdr:col>15</xdr:col>
                    <xdr:colOff>565150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82" name="Button 6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52</xdr:row>
                    <xdr:rowOff>31750</xdr:rowOff>
                  </from>
                  <to>
                    <xdr:col>15</xdr:col>
                    <xdr:colOff>565150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83" name="Button 6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53</xdr:row>
                    <xdr:rowOff>31750</xdr:rowOff>
                  </from>
                  <to>
                    <xdr:col>15</xdr:col>
                    <xdr:colOff>565150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84" name="Button 6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54</xdr:row>
                    <xdr:rowOff>31750</xdr:rowOff>
                  </from>
                  <to>
                    <xdr:col>15</xdr:col>
                    <xdr:colOff>565150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85" name="Button 6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55</xdr:row>
                    <xdr:rowOff>31750</xdr:rowOff>
                  </from>
                  <to>
                    <xdr:col>15</xdr:col>
                    <xdr:colOff>565150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86" name="Button 6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56</xdr:row>
                    <xdr:rowOff>31750</xdr:rowOff>
                  </from>
                  <to>
                    <xdr:col>15</xdr:col>
                    <xdr:colOff>565150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87" name="Button 6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57</xdr:row>
                    <xdr:rowOff>31750</xdr:rowOff>
                  </from>
                  <to>
                    <xdr:col>15</xdr:col>
                    <xdr:colOff>565150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288" name="Button 6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58</xdr:row>
                    <xdr:rowOff>31750</xdr:rowOff>
                  </from>
                  <to>
                    <xdr:col>15</xdr:col>
                    <xdr:colOff>565150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89" name="Button 6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59</xdr:row>
                    <xdr:rowOff>31750</xdr:rowOff>
                  </from>
                  <to>
                    <xdr:col>15</xdr:col>
                    <xdr:colOff>565150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90" name="Button 6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60</xdr:row>
                    <xdr:rowOff>31750</xdr:rowOff>
                  </from>
                  <to>
                    <xdr:col>15</xdr:col>
                    <xdr:colOff>565150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91" name="Button 6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61</xdr:row>
                    <xdr:rowOff>31750</xdr:rowOff>
                  </from>
                  <to>
                    <xdr:col>15</xdr:col>
                    <xdr:colOff>565150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292" name="Button 7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62</xdr:row>
                    <xdr:rowOff>31750</xdr:rowOff>
                  </from>
                  <to>
                    <xdr:col>15</xdr:col>
                    <xdr:colOff>565150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93" name="Button 7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63</xdr:row>
                    <xdr:rowOff>31750</xdr:rowOff>
                  </from>
                  <to>
                    <xdr:col>15</xdr:col>
                    <xdr:colOff>565150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94" name="Button 7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64</xdr:row>
                    <xdr:rowOff>31750</xdr:rowOff>
                  </from>
                  <to>
                    <xdr:col>15</xdr:col>
                    <xdr:colOff>565150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95" name="Button 7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65</xdr:row>
                    <xdr:rowOff>31750</xdr:rowOff>
                  </from>
                  <to>
                    <xdr:col>15</xdr:col>
                    <xdr:colOff>565150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96" name="Button 7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66</xdr:row>
                    <xdr:rowOff>31750</xdr:rowOff>
                  </from>
                  <to>
                    <xdr:col>15</xdr:col>
                    <xdr:colOff>565150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97" name="Button 7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67</xdr:row>
                    <xdr:rowOff>31750</xdr:rowOff>
                  </from>
                  <to>
                    <xdr:col>15</xdr:col>
                    <xdr:colOff>565150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98" name="Button 7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68</xdr:row>
                    <xdr:rowOff>31750</xdr:rowOff>
                  </from>
                  <to>
                    <xdr:col>15</xdr:col>
                    <xdr:colOff>565150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99" name="Button 7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69</xdr:row>
                    <xdr:rowOff>31750</xdr:rowOff>
                  </from>
                  <to>
                    <xdr:col>15</xdr:col>
                    <xdr:colOff>565150</xdr:colOff>
                    <xdr:row>69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00" name="Button 8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70</xdr:row>
                    <xdr:rowOff>31750</xdr:rowOff>
                  </from>
                  <to>
                    <xdr:col>15</xdr:col>
                    <xdr:colOff>565150</xdr:colOff>
                    <xdr:row>70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01" name="Button 8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71</xdr:row>
                    <xdr:rowOff>31750</xdr:rowOff>
                  </from>
                  <to>
                    <xdr:col>15</xdr:col>
                    <xdr:colOff>565150</xdr:colOff>
                    <xdr:row>71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02" name="Button 8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72</xdr:row>
                    <xdr:rowOff>31750</xdr:rowOff>
                  </from>
                  <to>
                    <xdr:col>15</xdr:col>
                    <xdr:colOff>565150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03" name="Button 8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73</xdr:row>
                    <xdr:rowOff>31750</xdr:rowOff>
                  </from>
                  <to>
                    <xdr:col>15</xdr:col>
                    <xdr:colOff>565150</xdr:colOff>
                    <xdr:row>73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04" name="Button 8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74</xdr:row>
                    <xdr:rowOff>31750</xdr:rowOff>
                  </from>
                  <to>
                    <xdr:col>15</xdr:col>
                    <xdr:colOff>565150</xdr:colOff>
                    <xdr:row>74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05" name="Button 8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75</xdr:row>
                    <xdr:rowOff>31750</xdr:rowOff>
                  </from>
                  <to>
                    <xdr:col>15</xdr:col>
                    <xdr:colOff>565150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06" name="Button 8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76</xdr:row>
                    <xdr:rowOff>31750</xdr:rowOff>
                  </from>
                  <to>
                    <xdr:col>15</xdr:col>
                    <xdr:colOff>565150</xdr:colOff>
                    <xdr:row>76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307" name="Button 9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77</xdr:row>
                    <xdr:rowOff>31750</xdr:rowOff>
                  </from>
                  <to>
                    <xdr:col>15</xdr:col>
                    <xdr:colOff>565150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308" name="Button 9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78</xdr:row>
                    <xdr:rowOff>31750</xdr:rowOff>
                  </from>
                  <to>
                    <xdr:col>15</xdr:col>
                    <xdr:colOff>565150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309" name="Button 9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79</xdr:row>
                    <xdr:rowOff>31750</xdr:rowOff>
                  </from>
                  <to>
                    <xdr:col>15</xdr:col>
                    <xdr:colOff>565150</xdr:colOff>
                    <xdr:row>79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310" name="Button 9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80</xdr:row>
                    <xdr:rowOff>31750</xdr:rowOff>
                  </from>
                  <to>
                    <xdr:col>15</xdr:col>
                    <xdr:colOff>565150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311" name="Button 9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81</xdr:row>
                    <xdr:rowOff>31750</xdr:rowOff>
                  </from>
                  <to>
                    <xdr:col>15</xdr:col>
                    <xdr:colOff>565150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312" name="Button 9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82</xdr:row>
                    <xdr:rowOff>31750</xdr:rowOff>
                  </from>
                  <to>
                    <xdr:col>15</xdr:col>
                    <xdr:colOff>565150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313" name="Button 10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83</xdr:row>
                    <xdr:rowOff>31750</xdr:rowOff>
                  </from>
                  <to>
                    <xdr:col>15</xdr:col>
                    <xdr:colOff>565150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314" name="Button 10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84</xdr:row>
                    <xdr:rowOff>31750</xdr:rowOff>
                  </from>
                  <to>
                    <xdr:col>15</xdr:col>
                    <xdr:colOff>565150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315" name="Button 10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85</xdr:row>
                    <xdr:rowOff>31750</xdr:rowOff>
                  </from>
                  <to>
                    <xdr:col>15</xdr:col>
                    <xdr:colOff>565150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316" name="Button 10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86</xdr:row>
                    <xdr:rowOff>31750</xdr:rowOff>
                  </from>
                  <to>
                    <xdr:col>15</xdr:col>
                    <xdr:colOff>565150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317" name="Button 10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87</xdr:row>
                    <xdr:rowOff>31750</xdr:rowOff>
                  </from>
                  <to>
                    <xdr:col>15</xdr:col>
                    <xdr:colOff>565150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318" name="Button 10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88</xdr:row>
                    <xdr:rowOff>31750</xdr:rowOff>
                  </from>
                  <to>
                    <xdr:col>15</xdr:col>
                    <xdr:colOff>565150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319" name="Button 10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89</xdr:row>
                    <xdr:rowOff>31750</xdr:rowOff>
                  </from>
                  <to>
                    <xdr:col>15</xdr:col>
                    <xdr:colOff>565150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320" name="Button 10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90</xdr:row>
                    <xdr:rowOff>31750</xdr:rowOff>
                  </from>
                  <to>
                    <xdr:col>15</xdr:col>
                    <xdr:colOff>565150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21" name="Button 11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91</xdr:row>
                    <xdr:rowOff>31750</xdr:rowOff>
                  </from>
                  <to>
                    <xdr:col>15</xdr:col>
                    <xdr:colOff>565150</xdr:colOff>
                    <xdr:row>91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2" name="Button 11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92</xdr:row>
                    <xdr:rowOff>31750</xdr:rowOff>
                  </from>
                  <to>
                    <xdr:col>15</xdr:col>
                    <xdr:colOff>565150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3" name="Button 11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93</xdr:row>
                    <xdr:rowOff>31750</xdr:rowOff>
                  </from>
                  <to>
                    <xdr:col>15</xdr:col>
                    <xdr:colOff>565150</xdr:colOff>
                    <xdr:row>93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324" name="Button 11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94</xdr:row>
                    <xdr:rowOff>31750</xdr:rowOff>
                  </from>
                  <to>
                    <xdr:col>15</xdr:col>
                    <xdr:colOff>565150</xdr:colOff>
                    <xdr:row>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5" name="Button 11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95</xdr:row>
                    <xdr:rowOff>31750</xdr:rowOff>
                  </from>
                  <to>
                    <xdr:col>15</xdr:col>
                    <xdr:colOff>565150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26" name="Button 12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96</xdr:row>
                    <xdr:rowOff>31750</xdr:rowOff>
                  </from>
                  <to>
                    <xdr:col>15</xdr:col>
                    <xdr:colOff>565150</xdr:colOff>
                    <xdr:row>96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27" name="Button 12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97</xdr:row>
                    <xdr:rowOff>31750</xdr:rowOff>
                  </from>
                  <to>
                    <xdr:col>15</xdr:col>
                    <xdr:colOff>565150</xdr:colOff>
                    <xdr:row>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8" name="Button 12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98</xdr:row>
                    <xdr:rowOff>31750</xdr:rowOff>
                  </from>
                  <to>
                    <xdr:col>15</xdr:col>
                    <xdr:colOff>565150</xdr:colOff>
                    <xdr:row>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29" name="Button 12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99</xdr:row>
                    <xdr:rowOff>31750</xdr:rowOff>
                  </from>
                  <to>
                    <xdr:col>15</xdr:col>
                    <xdr:colOff>565150</xdr:colOff>
                    <xdr:row>99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30" name="Button 12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100</xdr:row>
                    <xdr:rowOff>31750</xdr:rowOff>
                  </from>
                  <to>
                    <xdr:col>15</xdr:col>
                    <xdr:colOff>565150</xdr:colOff>
                    <xdr:row>100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31" name="Button 12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101</xdr:row>
                    <xdr:rowOff>31750</xdr:rowOff>
                  </from>
                  <to>
                    <xdr:col>15</xdr:col>
                    <xdr:colOff>565150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2" name="Button 12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102</xdr:row>
                    <xdr:rowOff>31750</xdr:rowOff>
                  </from>
                  <to>
                    <xdr:col>15</xdr:col>
                    <xdr:colOff>565150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33" name="Button 13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103</xdr:row>
                    <xdr:rowOff>31750</xdr:rowOff>
                  </from>
                  <to>
                    <xdr:col>15</xdr:col>
                    <xdr:colOff>565150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34" name="Button 13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104</xdr:row>
                    <xdr:rowOff>31750</xdr:rowOff>
                  </from>
                  <to>
                    <xdr:col>15</xdr:col>
                    <xdr:colOff>565150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335" name="Button 13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105</xdr:row>
                    <xdr:rowOff>31750</xdr:rowOff>
                  </from>
                  <to>
                    <xdr:col>15</xdr:col>
                    <xdr:colOff>565150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336" name="Button 13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106</xdr:row>
                    <xdr:rowOff>31750</xdr:rowOff>
                  </from>
                  <to>
                    <xdr:col>15</xdr:col>
                    <xdr:colOff>565150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337" name="Button 13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107</xdr:row>
                    <xdr:rowOff>31750</xdr:rowOff>
                  </from>
                  <to>
                    <xdr:col>15</xdr:col>
                    <xdr:colOff>565150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338" name="Button 13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108</xdr:row>
                    <xdr:rowOff>31750</xdr:rowOff>
                  </from>
                  <to>
                    <xdr:col>15</xdr:col>
                    <xdr:colOff>565150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339" name="Button 14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109</xdr:row>
                    <xdr:rowOff>31750</xdr:rowOff>
                  </from>
                  <to>
                    <xdr:col>15</xdr:col>
                    <xdr:colOff>565150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340" name="Button 14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110</xdr:row>
                    <xdr:rowOff>31750</xdr:rowOff>
                  </from>
                  <to>
                    <xdr:col>15</xdr:col>
                    <xdr:colOff>565150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341" name="Button 14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111</xdr:row>
                    <xdr:rowOff>31750</xdr:rowOff>
                  </from>
                  <to>
                    <xdr:col>15</xdr:col>
                    <xdr:colOff>565150</xdr:colOff>
                    <xdr:row>111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342" name="Button 14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112</xdr:row>
                    <xdr:rowOff>31750</xdr:rowOff>
                  </from>
                  <to>
                    <xdr:col>15</xdr:col>
                    <xdr:colOff>565150</xdr:colOff>
                    <xdr:row>112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343" name="Button 14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113</xdr:row>
                    <xdr:rowOff>31750</xdr:rowOff>
                  </from>
                  <to>
                    <xdr:col>15</xdr:col>
                    <xdr:colOff>565150</xdr:colOff>
                    <xdr:row>113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344" name="Button 15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114</xdr:row>
                    <xdr:rowOff>31750</xdr:rowOff>
                  </from>
                  <to>
                    <xdr:col>15</xdr:col>
                    <xdr:colOff>565150</xdr:colOff>
                    <xdr:row>114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345" name="Button 15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115</xdr:row>
                    <xdr:rowOff>31750</xdr:rowOff>
                  </from>
                  <to>
                    <xdr:col>15</xdr:col>
                    <xdr:colOff>565150</xdr:colOff>
                    <xdr:row>115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346" name="Button 15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116</xdr:row>
                    <xdr:rowOff>31750</xdr:rowOff>
                  </from>
                  <to>
                    <xdr:col>15</xdr:col>
                    <xdr:colOff>565150</xdr:colOff>
                    <xdr:row>116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347" name="Button 15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117</xdr:row>
                    <xdr:rowOff>31750</xdr:rowOff>
                  </from>
                  <to>
                    <xdr:col>15</xdr:col>
                    <xdr:colOff>565150</xdr:colOff>
                    <xdr:row>117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348" name="Button 16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127000</xdr:colOff>
                    <xdr:row>117</xdr:row>
                    <xdr:rowOff>31750</xdr:rowOff>
                  </from>
                  <to>
                    <xdr:col>15</xdr:col>
                    <xdr:colOff>565150</xdr:colOff>
                    <xdr:row>117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349" name="Button 16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118</xdr:row>
                    <xdr:rowOff>38100</xdr:rowOff>
                  </from>
                  <to>
                    <xdr:col>15</xdr:col>
                    <xdr:colOff>565150</xdr:colOff>
                    <xdr:row>118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350" name="Button 16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119</xdr:row>
                    <xdr:rowOff>38100</xdr:rowOff>
                  </from>
                  <to>
                    <xdr:col>15</xdr:col>
                    <xdr:colOff>565150</xdr:colOff>
                    <xdr:row>119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351" name="Button 16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120</xdr:row>
                    <xdr:rowOff>38100</xdr:rowOff>
                  </from>
                  <to>
                    <xdr:col>15</xdr:col>
                    <xdr:colOff>565150</xdr:colOff>
                    <xdr:row>120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352" name="Button 16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121</xdr:row>
                    <xdr:rowOff>38100</xdr:rowOff>
                  </from>
                  <to>
                    <xdr:col>15</xdr:col>
                    <xdr:colOff>565150</xdr:colOff>
                    <xdr:row>121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353" name="Button 16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122</xdr:row>
                    <xdr:rowOff>38100</xdr:rowOff>
                  </from>
                  <to>
                    <xdr:col>15</xdr:col>
                    <xdr:colOff>565150</xdr:colOff>
                    <xdr:row>122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54" name="Button 17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123</xdr:row>
                    <xdr:rowOff>38100</xdr:rowOff>
                  </from>
                  <to>
                    <xdr:col>15</xdr:col>
                    <xdr:colOff>565150</xdr:colOff>
                    <xdr:row>123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355" name="Button 17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124</xdr:row>
                    <xdr:rowOff>38100</xdr:rowOff>
                  </from>
                  <to>
                    <xdr:col>15</xdr:col>
                    <xdr:colOff>565150</xdr:colOff>
                    <xdr:row>124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356" name="Button 17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125</xdr:row>
                    <xdr:rowOff>38100</xdr:rowOff>
                  </from>
                  <to>
                    <xdr:col>15</xdr:col>
                    <xdr:colOff>565150</xdr:colOff>
                    <xdr:row>125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357" name="Button 17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126</xdr:row>
                    <xdr:rowOff>38100</xdr:rowOff>
                  </from>
                  <to>
                    <xdr:col>15</xdr:col>
                    <xdr:colOff>565150</xdr:colOff>
                    <xdr:row>126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358" name="Button 17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127</xdr:row>
                    <xdr:rowOff>38100</xdr:rowOff>
                  </from>
                  <to>
                    <xdr:col>15</xdr:col>
                    <xdr:colOff>565150</xdr:colOff>
                    <xdr:row>127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359" name="Button 18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128</xdr:row>
                    <xdr:rowOff>38100</xdr:rowOff>
                  </from>
                  <to>
                    <xdr:col>15</xdr:col>
                    <xdr:colOff>565150</xdr:colOff>
                    <xdr:row>128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360" name="Button 18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129</xdr:row>
                    <xdr:rowOff>38100</xdr:rowOff>
                  </from>
                  <to>
                    <xdr:col>15</xdr:col>
                    <xdr:colOff>565150</xdr:colOff>
                    <xdr:row>129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361" name="Button 18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130</xdr:row>
                    <xdr:rowOff>38100</xdr:rowOff>
                  </from>
                  <to>
                    <xdr:col>15</xdr:col>
                    <xdr:colOff>565150</xdr:colOff>
                    <xdr:row>130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362" name="Button 18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131</xdr:row>
                    <xdr:rowOff>38100</xdr:rowOff>
                  </from>
                  <to>
                    <xdr:col>15</xdr:col>
                    <xdr:colOff>565150</xdr:colOff>
                    <xdr:row>131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363" name="Button 19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132</xdr:row>
                    <xdr:rowOff>38100</xdr:rowOff>
                  </from>
                  <to>
                    <xdr:col>15</xdr:col>
                    <xdr:colOff>565150</xdr:colOff>
                    <xdr:row>132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364" name="Button 19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133</xdr:row>
                    <xdr:rowOff>38100</xdr:rowOff>
                  </from>
                  <to>
                    <xdr:col>15</xdr:col>
                    <xdr:colOff>565150</xdr:colOff>
                    <xdr:row>133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365" name="Button 19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134</xdr:row>
                    <xdr:rowOff>38100</xdr:rowOff>
                  </from>
                  <to>
                    <xdr:col>15</xdr:col>
                    <xdr:colOff>565150</xdr:colOff>
                    <xdr:row>134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366" name="Button 19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135</xdr:row>
                    <xdr:rowOff>38100</xdr:rowOff>
                  </from>
                  <to>
                    <xdr:col>15</xdr:col>
                    <xdr:colOff>565150</xdr:colOff>
                    <xdr:row>135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367" name="Button 20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136</xdr:row>
                    <xdr:rowOff>38100</xdr:rowOff>
                  </from>
                  <to>
                    <xdr:col>15</xdr:col>
                    <xdr:colOff>565150</xdr:colOff>
                    <xdr:row>136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68" name="Button 20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137</xdr:row>
                    <xdr:rowOff>38100</xdr:rowOff>
                  </from>
                  <to>
                    <xdr:col>15</xdr:col>
                    <xdr:colOff>565150</xdr:colOff>
                    <xdr:row>137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69" name="Button 20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138</xdr:row>
                    <xdr:rowOff>38100</xdr:rowOff>
                  </from>
                  <to>
                    <xdr:col>15</xdr:col>
                    <xdr:colOff>565150</xdr:colOff>
                    <xdr:row>138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70" name="Button 20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139</xdr:row>
                    <xdr:rowOff>38100</xdr:rowOff>
                  </from>
                  <to>
                    <xdr:col>15</xdr:col>
                    <xdr:colOff>565150</xdr:colOff>
                    <xdr:row>139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71" name="Button 20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140</xdr:row>
                    <xdr:rowOff>38100</xdr:rowOff>
                  </from>
                  <to>
                    <xdr:col>15</xdr:col>
                    <xdr:colOff>565150</xdr:colOff>
                    <xdr:row>140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372" name="Button 21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141</xdr:row>
                    <xdr:rowOff>38100</xdr:rowOff>
                  </from>
                  <to>
                    <xdr:col>15</xdr:col>
                    <xdr:colOff>565150</xdr:colOff>
                    <xdr:row>141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373" name="Button 21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142</xdr:row>
                    <xdr:rowOff>38100</xdr:rowOff>
                  </from>
                  <to>
                    <xdr:col>15</xdr:col>
                    <xdr:colOff>565150</xdr:colOff>
                    <xdr:row>142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374" name="Button 21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143</xdr:row>
                    <xdr:rowOff>38100</xdr:rowOff>
                  </from>
                  <to>
                    <xdr:col>15</xdr:col>
                    <xdr:colOff>565150</xdr:colOff>
                    <xdr:row>143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375" name="Button 21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144</xdr:row>
                    <xdr:rowOff>38100</xdr:rowOff>
                  </from>
                  <to>
                    <xdr:col>15</xdr:col>
                    <xdr:colOff>565150</xdr:colOff>
                    <xdr:row>144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376" name="Button 22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145</xdr:row>
                    <xdr:rowOff>38100</xdr:rowOff>
                  </from>
                  <to>
                    <xdr:col>15</xdr:col>
                    <xdr:colOff>565150</xdr:colOff>
                    <xdr:row>145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377" name="Button 22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146</xdr:row>
                    <xdr:rowOff>38100</xdr:rowOff>
                  </from>
                  <to>
                    <xdr:col>15</xdr:col>
                    <xdr:colOff>565150</xdr:colOff>
                    <xdr:row>146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378" name="Button 22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147</xdr:row>
                    <xdr:rowOff>38100</xdr:rowOff>
                  </from>
                  <to>
                    <xdr:col>15</xdr:col>
                    <xdr:colOff>565150</xdr:colOff>
                    <xdr:row>147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379" name="Button 22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148</xdr:row>
                    <xdr:rowOff>38100</xdr:rowOff>
                  </from>
                  <to>
                    <xdr:col>15</xdr:col>
                    <xdr:colOff>565150</xdr:colOff>
                    <xdr:row>148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380" name="Button 23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149</xdr:row>
                    <xdr:rowOff>38100</xdr:rowOff>
                  </from>
                  <to>
                    <xdr:col>15</xdr:col>
                    <xdr:colOff>565150</xdr:colOff>
                    <xdr:row>149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381" name="Button 23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150</xdr:row>
                    <xdr:rowOff>38100</xdr:rowOff>
                  </from>
                  <to>
                    <xdr:col>15</xdr:col>
                    <xdr:colOff>565150</xdr:colOff>
                    <xdr:row>150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382" name="Button 23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151</xdr:row>
                    <xdr:rowOff>38100</xdr:rowOff>
                  </from>
                  <to>
                    <xdr:col>15</xdr:col>
                    <xdr:colOff>565150</xdr:colOff>
                    <xdr:row>151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383" name="Button 23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152</xdr:row>
                    <xdr:rowOff>38100</xdr:rowOff>
                  </from>
                  <to>
                    <xdr:col>15</xdr:col>
                    <xdr:colOff>565150</xdr:colOff>
                    <xdr:row>152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384" name="Button 23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153</xdr:row>
                    <xdr:rowOff>38100</xdr:rowOff>
                  </from>
                  <to>
                    <xdr:col>15</xdr:col>
                    <xdr:colOff>565150</xdr:colOff>
                    <xdr:row>153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385" name="Button 23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154</xdr:row>
                    <xdr:rowOff>38100</xdr:rowOff>
                  </from>
                  <to>
                    <xdr:col>15</xdr:col>
                    <xdr:colOff>565150</xdr:colOff>
                    <xdr:row>154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386" name="Button 23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155</xdr:row>
                    <xdr:rowOff>38100</xdr:rowOff>
                  </from>
                  <to>
                    <xdr:col>15</xdr:col>
                    <xdr:colOff>565150</xdr:colOff>
                    <xdr:row>155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387" name="Button 24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156</xdr:row>
                    <xdr:rowOff>38100</xdr:rowOff>
                  </from>
                  <to>
                    <xdr:col>15</xdr:col>
                    <xdr:colOff>565150</xdr:colOff>
                    <xdr:row>156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388" name="Button 24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157</xdr:row>
                    <xdr:rowOff>38100</xdr:rowOff>
                  </from>
                  <to>
                    <xdr:col>15</xdr:col>
                    <xdr:colOff>565150</xdr:colOff>
                    <xdr:row>157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389" name="Button 24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158</xdr:row>
                    <xdr:rowOff>38100</xdr:rowOff>
                  </from>
                  <to>
                    <xdr:col>15</xdr:col>
                    <xdr:colOff>565150</xdr:colOff>
                    <xdr:row>158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390" name="Button 25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159</xdr:row>
                    <xdr:rowOff>38100</xdr:rowOff>
                  </from>
                  <to>
                    <xdr:col>15</xdr:col>
                    <xdr:colOff>565150</xdr:colOff>
                    <xdr:row>159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391" name="Button 25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160</xdr:row>
                    <xdr:rowOff>38100</xdr:rowOff>
                  </from>
                  <to>
                    <xdr:col>15</xdr:col>
                    <xdr:colOff>565150</xdr:colOff>
                    <xdr:row>160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392" name="Button 25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161</xdr:row>
                    <xdr:rowOff>38100</xdr:rowOff>
                  </from>
                  <to>
                    <xdr:col>15</xdr:col>
                    <xdr:colOff>565150</xdr:colOff>
                    <xdr:row>161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393" name="Button 25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162</xdr:row>
                    <xdr:rowOff>38100</xdr:rowOff>
                  </from>
                  <to>
                    <xdr:col>15</xdr:col>
                    <xdr:colOff>565150</xdr:colOff>
                    <xdr:row>162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394" name="Button 25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163</xdr:row>
                    <xdr:rowOff>38100</xdr:rowOff>
                  </from>
                  <to>
                    <xdr:col>15</xdr:col>
                    <xdr:colOff>565150</xdr:colOff>
                    <xdr:row>163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395" name="Button 26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164</xdr:row>
                    <xdr:rowOff>38100</xdr:rowOff>
                  </from>
                  <to>
                    <xdr:col>15</xdr:col>
                    <xdr:colOff>565150</xdr:colOff>
                    <xdr:row>164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396" name="Button 26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165</xdr:row>
                    <xdr:rowOff>38100</xdr:rowOff>
                  </from>
                  <to>
                    <xdr:col>15</xdr:col>
                    <xdr:colOff>565150</xdr:colOff>
                    <xdr:row>165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397" name="Button 26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166</xdr:row>
                    <xdr:rowOff>38100</xdr:rowOff>
                  </from>
                  <to>
                    <xdr:col>15</xdr:col>
                    <xdr:colOff>565150</xdr:colOff>
                    <xdr:row>166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398" name="Button 26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167</xdr:row>
                    <xdr:rowOff>38100</xdr:rowOff>
                  </from>
                  <to>
                    <xdr:col>15</xdr:col>
                    <xdr:colOff>565150</xdr:colOff>
                    <xdr:row>167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399" name="Button 27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168</xdr:row>
                    <xdr:rowOff>38100</xdr:rowOff>
                  </from>
                  <to>
                    <xdr:col>15</xdr:col>
                    <xdr:colOff>565150</xdr:colOff>
                    <xdr:row>168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400" name="Button 27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169</xdr:row>
                    <xdr:rowOff>38100</xdr:rowOff>
                  </from>
                  <to>
                    <xdr:col>15</xdr:col>
                    <xdr:colOff>565150</xdr:colOff>
                    <xdr:row>169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401" name="Button 27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170</xdr:row>
                    <xdr:rowOff>38100</xdr:rowOff>
                  </from>
                  <to>
                    <xdr:col>15</xdr:col>
                    <xdr:colOff>565150</xdr:colOff>
                    <xdr:row>170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402" name="Button 27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171</xdr:row>
                    <xdr:rowOff>38100</xdr:rowOff>
                  </from>
                  <to>
                    <xdr:col>15</xdr:col>
                    <xdr:colOff>565150</xdr:colOff>
                    <xdr:row>171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403" name="Button 28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172</xdr:row>
                    <xdr:rowOff>38100</xdr:rowOff>
                  </from>
                  <to>
                    <xdr:col>15</xdr:col>
                    <xdr:colOff>565150</xdr:colOff>
                    <xdr:row>172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404" name="Button 28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173</xdr:row>
                    <xdr:rowOff>38100</xdr:rowOff>
                  </from>
                  <to>
                    <xdr:col>15</xdr:col>
                    <xdr:colOff>565150</xdr:colOff>
                    <xdr:row>173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405" name="Button 28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174</xdr:row>
                    <xdr:rowOff>38100</xdr:rowOff>
                  </from>
                  <to>
                    <xdr:col>15</xdr:col>
                    <xdr:colOff>565150</xdr:colOff>
                    <xdr:row>174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406" name="Button 28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175</xdr:row>
                    <xdr:rowOff>38100</xdr:rowOff>
                  </from>
                  <to>
                    <xdr:col>15</xdr:col>
                    <xdr:colOff>565150</xdr:colOff>
                    <xdr:row>175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407" name="Button 28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176</xdr:row>
                    <xdr:rowOff>38100</xdr:rowOff>
                  </from>
                  <to>
                    <xdr:col>15</xdr:col>
                    <xdr:colOff>565150</xdr:colOff>
                    <xdr:row>176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408" name="Button 28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177</xdr:row>
                    <xdr:rowOff>38100</xdr:rowOff>
                  </from>
                  <to>
                    <xdr:col>15</xdr:col>
                    <xdr:colOff>565150</xdr:colOff>
                    <xdr:row>177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409" name="Button 28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178</xdr:row>
                    <xdr:rowOff>38100</xdr:rowOff>
                  </from>
                  <to>
                    <xdr:col>15</xdr:col>
                    <xdr:colOff>565150</xdr:colOff>
                    <xdr:row>178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410" name="Button 28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179</xdr:row>
                    <xdr:rowOff>38100</xdr:rowOff>
                  </from>
                  <to>
                    <xdr:col>15</xdr:col>
                    <xdr:colOff>565150</xdr:colOff>
                    <xdr:row>179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411" name="Button 28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180</xdr:row>
                    <xdr:rowOff>38100</xdr:rowOff>
                  </from>
                  <to>
                    <xdr:col>15</xdr:col>
                    <xdr:colOff>565150</xdr:colOff>
                    <xdr:row>180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412" name="Button 28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181</xdr:row>
                    <xdr:rowOff>38100</xdr:rowOff>
                  </from>
                  <to>
                    <xdr:col>15</xdr:col>
                    <xdr:colOff>565150</xdr:colOff>
                    <xdr:row>181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413" name="Button 29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182</xdr:row>
                    <xdr:rowOff>38100</xdr:rowOff>
                  </from>
                  <to>
                    <xdr:col>15</xdr:col>
                    <xdr:colOff>565150</xdr:colOff>
                    <xdr:row>182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414" name="Button 29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183</xdr:row>
                    <xdr:rowOff>38100</xdr:rowOff>
                  </from>
                  <to>
                    <xdr:col>15</xdr:col>
                    <xdr:colOff>565150</xdr:colOff>
                    <xdr:row>183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415" name="Button 29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184</xdr:row>
                    <xdr:rowOff>38100</xdr:rowOff>
                  </from>
                  <to>
                    <xdr:col>15</xdr:col>
                    <xdr:colOff>565150</xdr:colOff>
                    <xdr:row>184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416" name="Button 29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185</xdr:row>
                    <xdr:rowOff>38100</xdr:rowOff>
                  </from>
                  <to>
                    <xdr:col>15</xdr:col>
                    <xdr:colOff>565150</xdr:colOff>
                    <xdr:row>185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417" name="Button 29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186</xdr:row>
                    <xdr:rowOff>38100</xdr:rowOff>
                  </from>
                  <to>
                    <xdr:col>15</xdr:col>
                    <xdr:colOff>565150</xdr:colOff>
                    <xdr:row>186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418" name="Button 29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187</xdr:row>
                    <xdr:rowOff>38100</xdr:rowOff>
                  </from>
                  <to>
                    <xdr:col>15</xdr:col>
                    <xdr:colOff>565150</xdr:colOff>
                    <xdr:row>187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419" name="Button 30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188</xdr:row>
                    <xdr:rowOff>38100</xdr:rowOff>
                  </from>
                  <to>
                    <xdr:col>15</xdr:col>
                    <xdr:colOff>565150</xdr:colOff>
                    <xdr:row>188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420" name="Button 30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189</xdr:row>
                    <xdr:rowOff>38100</xdr:rowOff>
                  </from>
                  <to>
                    <xdr:col>15</xdr:col>
                    <xdr:colOff>565150</xdr:colOff>
                    <xdr:row>189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421" name="Button 30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190</xdr:row>
                    <xdr:rowOff>38100</xdr:rowOff>
                  </from>
                  <to>
                    <xdr:col>15</xdr:col>
                    <xdr:colOff>565150</xdr:colOff>
                    <xdr:row>190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422" name="Button 30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191</xdr:row>
                    <xdr:rowOff>38100</xdr:rowOff>
                  </from>
                  <to>
                    <xdr:col>15</xdr:col>
                    <xdr:colOff>565150</xdr:colOff>
                    <xdr:row>191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423" name="Button 30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192</xdr:row>
                    <xdr:rowOff>38100</xdr:rowOff>
                  </from>
                  <to>
                    <xdr:col>15</xdr:col>
                    <xdr:colOff>565150</xdr:colOff>
                    <xdr:row>192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424" name="Button 30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193</xdr:row>
                    <xdr:rowOff>38100</xdr:rowOff>
                  </from>
                  <to>
                    <xdr:col>15</xdr:col>
                    <xdr:colOff>565150</xdr:colOff>
                    <xdr:row>193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425" name="Button 31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194</xdr:row>
                    <xdr:rowOff>38100</xdr:rowOff>
                  </from>
                  <to>
                    <xdr:col>15</xdr:col>
                    <xdr:colOff>565150</xdr:colOff>
                    <xdr:row>194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426" name="Button 31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195</xdr:row>
                    <xdr:rowOff>38100</xdr:rowOff>
                  </from>
                  <to>
                    <xdr:col>15</xdr:col>
                    <xdr:colOff>565150</xdr:colOff>
                    <xdr:row>195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427" name="Button 31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196</xdr:row>
                    <xdr:rowOff>38100</xdr:rowOff>
                  </from>
                  <to>
                    <xdr:col>15</xdr:col>
                    <xdr:colOff>565150</xdr:colOff>
                    <xdr:row>196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428" name="Button 31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197</xdr:row>
                    <xdr:rowOff>38100</xdr:rowOff>
                  </from>
                  <to>
                    <xdr:col>15</xdr:col>
                    <xdr:colOff>565150</xdr:colOff>
                    <xdr:row>197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429" name="Button 31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198</xdr:row>
                    <xdr:rowOff>38100</xdr:rowOff>
                  </from>
                  <to>
                    <xdr:col>15</xdr:col>
                    <xdr:colOff>565150</xdr:colOff>
                    <xdr:row>198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430" name="Button 31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199</xdr:row>
                    <xdr:rowOff>38100</xdr:rowOff>
                  </from>
                  <to>
                    <xdr:col>15</xdr:col>
                    <xdr:colOff>565150</xdr:colOff>
                    <xdr:row>199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431" name="Button 31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200</xdr:row>
                    <xdr:rowOff>38100</xdr:rowOff>
                  </from>
                  <to>
                    <xdr:col>15</xdr:col>
                    <xdr:colOff>565150</xdr:colOff>
                    <xdr:row>200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432" name="Button 32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201</xdr:row>
                    <xdr:rowOff>38100</xdr:rowOff>
                  </from>
                  <to>
                    <xdr:col>15</xdr:col>
                    <xdr:colOff>565150</xdr:colOff>
                    <xdr:row>201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433" name="Button 32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202</xdr:row>
                    <xdr:rowOff>38100</xdr:rowOff>
                  </from>
                  <to>
                    <xdr:col>15</xdr:col>
                    <xdr:colOff>565150</xdr:colOff>
                    <xdr:row>202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434" name="Button 32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203</xdr:row>
                    <xdr:rowOff>38100</xdr:rowOff>
                  </from>
                  <to>
                    <xdr:col>15</xdr:col>
                    <xdr:colOff>565150</xdr:colOff>
                    <xdr:row>203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435" name="Button 32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204</xdr:row>
                    <xdr:rowOff>38100</xdr:rowOff>
                  </from>
                  <to>
                    <xdr:col>15</xdr:col>
                    <xdr:colOff>565150</xdr:colOff>
                    <xdr:row>204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436" name="Button 32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205</xdr:row>
                    <xdr:rowOff>38100</xdr:rowOff>
                  </from>
                  <to>
                    <xdr:col>15</xdr:col>
                    <xdr:colOff>565150</xdr:colOff>
                    <xdr:row>205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437" name="Button 33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206</xdr:row>
                    <xdr:rowOff>38100</xdr:rowOff>
                  </from>
                  <to>
                    <xdr:col>15</xdr:col>
                    <xdr:colOff>565150</xdr:colOff>
                    <xdr:row>206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438" name="Button 33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207</xdr:row>
                    <xdr:rowOff>38100</xdr:rowOff>
                  </from>
                  <to>
                    <xdr:col>15</xdr:col>
                    <xdr:colOff>565150</xdr:colOff>
                    <xdr:row>207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439" name="Button 33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208</xdr:row>
                    <xdr:rowOff>38100</xdr:rowOff>
                  </from>
                  <to>
                    <xdr:col>15</xdr:col>
                    <xdr:colOff>565150</xdr:colOff>
                    <xdr:row>208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440" name="Button 33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209</xdr:row>
                    <xdr:rowOff>38100</xdr:rowOff>
                  </from>
                  <to>
                    <xdr:col>15</xdr:col>
                    <xdr:colOff>565150</xdr:colOff>
                    <xdr:row>209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441" name="Button 33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210</xdr:row>
                    <xdr:rowOff>38100</xdr:rowOff>
                  </from>
                  <to>
                    <xdr:col>15</xdr:col>
                    <xdr:colOff>565150</xdr:colOff>
                    <xdr:row>210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442" name="Button 33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211</xdr:row>
                    <xdr:rowOff>38100</xdr:rowOff>
                  </from>
                  <to>
                    <xdr:col>15</xdr:col>
                    <xdr:colOff>565150</xdr:colOff>
                    <xdr:row>211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443" name="Button 338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212</xdr:row>
                    <xdr:rowOff>38100</xdr:rowOff>
                  </from>
                  <to>
                    <xdr:col>15</xdr:col>
                    <xdr:colOff>565150</xdr:colOff>
                    <xdr:row>212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444" name="Button 34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213</xdr:row>
                    <xdr:rowOff>38100</xdr:rowOff>
                  </from>
                  <to>
                    <xdr:col>15</xdr:col>
                    <xdr:colOff>565150</xdr:colOff>
                    <xdr:row>213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445" name="Button 34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214</xdr:row>
                    <xdr:rowOff>38100</xdr:rowOff>
                  </from>
                  <to>
                    <xdr:col>15</xdr:col>
                    <xdr:colOff>565150</xdr:colOff>
                    <xdr:row>214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446" name="Button 34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215</xdr:row>
                    <xdr:rowOff>38100</xdr:rowOff>
                  </from>
                  <to>
                    <xdr:col>15</xdr:col>
                    <xdr:colOff>565150</xdr:colOff>
                    <xdr:row>215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447" name="Button 346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216</xdr:row>
                    <xdr:rowOff>38100</xdr:rowOff>
                  </from>
                  <to>
                    <xdr:col>15</xdr:col>
                    <xdr:colOff>565150</xdr:colOff>
                    <xdr:row>216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448" name="Button 35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217</xdr:row>
                    <xdr:rowOff>38100</xdr:rowOff>
                  </from>
                  <to>
                    <xdr:col>15</xdr:col>
                    <xdr:colOff>565150</xdr:colOff>
                    <xdr:row>217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449" name="Button 35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218</xdr:row>
                    <xdr:rowOff>38100</xdr:rowOff>
                  </from>
                  <to>
                    <xdr:col>15</xdr:col>
                    <xdr:colOff>565150</xdr:colOff>
                    <xdr:row>218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450" name="Button 35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219</xdr:row>
                    <xdr:rowOff>38100</xdr:rowOff>
                  </from>
                  <to>
                    <xdr:col>15</xdr:col>
                    <xdr:colOff>565150</xdr:colOff>
                    <xdr:row>219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451" name="Button 353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220</xdr:row>
                    <xdr:rowOff>38100</xdr:rowOff>
                  </from>
                  <to>
                    <xdr:col>15</xdr:col>
                    <xdr:colOff>565150</xdr:colOff>
                    <xdr:row>220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452" name="Button 35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221</xdr:row>
                    <xdr:rowOff>38100</xdr:rowOff>
                  </from>
                  <to>
                    <xdr:col>15</xdr:col>
                    <xdr:colOff>565150</xdr:colOff>
                    <xdr:row>221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453" name="Button 35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222</xdr:row>
                    <xdr:rowOff>38100</xdr:rowOff>
                  </from>
                  <to>
                    <xdr:col>15</xdr:col>
                    <xdr:colOff>565150</xdr:colOff>
                    <xdr:row>222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454" name="Button 35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223</xdr:row>
                    <xdr:rowOff>38100</xdr:rowOff>
                  </from>
                  <to>
                    <xdr:col>15</xdr:col>
                    <xdr:colOff>565150</xdr:colOff>
                    <xdr:row>223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455" name="Button 360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224</xdr:row>
                    <xdr:rowOff>38100</xdr:rowOff>
                  </from>
                  <to>
                    <xdr:col>15</xdr:col>
                    <xdr:colOff>565150</xdr:colOff>
                    <xdr:row>224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456" name="Button 361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225</xdr:row>
                    <xdr:rowOff>38100</xdr:rowOff>
                  </from>
                  <to>
                    <xdr:col>15</xdr:col>
                    <xdr:colOff>565150</xdr:colOff>
                    <xdr:row>225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457" name="Button 36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226</xdr:row>
                    <xdr:rowOff>38100</xdr:rowOff>
                  </from>
                  <to>
                    <xdr:col>15</xdr:col>
                    <xdr:colOff>565150</xdr:colOff>
                    <xdr:row>226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458" name="Button 365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227</xdr:row>
                    <xdr:rowOff>38100</xdr:rowOff>
                  </from>
                  <to>
                    <xdr:col>15</xdr:col>
                    <xdr:colOff>565150</xdr:colOff>
                    <xdr:row>227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459" name="Button 367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228</xdr:row>
                    <xdr:rowOff>38100</xdr:rowOff>
                  </from>
                  <to>
                    <xdr:col>15</xdr:col>
                    <xdr:colOff>565150</xdr:colOff>
                    <xdr:row>228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460" name="Button 369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229</xdr:row>
                    <xdr:rowOff>38100</xdr:rowOff>
                  </from>
                  <to>
                    <xdr:col>15</xdr:col>
                    <xdr:colOff>565150</xdr:colOff>
                    <xdr:row>229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461" name="Button 372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230</xdr:row>
                    <xdr:rowOff>38100</xdr:rowOff>
                  </from>
                  <to>
                    <xdr:col>15</xdr:col>
                    <xdr:colOff>565150</xdr:colOff>
                    <xdr:row>230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462" name="Button 374">
              <controlPr defaultSize="0" print="0" autoFill="0" autoPict="0" macro="[0]!Button5_Click" altText="OK_x000a_">
                <anchor moveWithCells="1" sizeWithCells="1">
                  <from>
                    <xdr:col>15</xdr:col>
                    <xdr:colOff>114300</xdr:colOff>
                    <xdr:row>231</xdr:row>
                    <xdr:rowOff>38100</xdr:rowOff>
                  </from>
                  <to>
                    <xdr:col>15</xdr:col>
                    <xdr:colOff>565150</xdr:colOff>
                    <xdr:row>231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3A00438-21C9-4849-AAE6-AACBEF854C3C}">
          <x14:formula1>
            <xm:f>'Basic Info'!$A$33:$A$52</xm:f>
          </x14:formula1>
          <xm:sqref>H3:H248</xm:sqref>
        </x14:dataValidation>
        <x14:dataValidation type="list" allowBlank="1" showInputMessage="1" showErrorMessage="1" xr:uid="{E2B28625-817B-40F7-A739-61DFCCFF2FE5}">
          <x14:formula1>
            <xm:f>'Basic Info'!$C$2:$CA$2</xm:f>
          </x14:formula1>
          <xm:sqref>B3:B206 B213</xm:sqref>
        </x14:dataValidation>
        <x14:dataValidation type="list" allowBlank="1" showInputMessage="1" showErrorMessage="1" xr:uid="{A8364065-CCC1-46B5-9393-DAE91FE62F2E}">
          <x14:formula1>
            <xm:f>'Basic Info'!$C$2:$DA$2</xm:f>
          </x14:formula1>
          <xm:sqref>B207:B212 B214:B249</xm:sqref>
        </x14:dataValidation>
        <x14:dataValidation type="list" allowBlank="1" showInputMessage="1" showErrorMessage="1" xr:uid="{1EA03275-3823-4DF1-9439-0A402FF792D5}">
          <x14:formula1>
            <xm:f>'Basic Info'!$C$33:$C$56</xm:f>
          </x14:formula1>
          <xm:sqref>G3:G78 G87:G206 G80:G85</xm:sqref>
        </x14:dataValidation>
        <x14:dataValidation type="list" allowBlank="1" showInputMessage="1" showErrorMessage="1" xr:uid="{962882F9-AED4-4AE4-A3E3-F82EAB3A8651}">
          <x14:formula1>
            <xm:f>'Basic Info'!$B$33:$B$53</xm:f>
          </x14:formula1>
          <xm:sqref>F3:F248</xm:sqref>
        </x14:dataValidation>
        <x14:dataValidation type="list" allowBlank="1" showInputMessage="1" showErrorMessage="1" xr:uid="{FFAB5550-879A-4BB8-AC9A-82B78A6632D6}">
          <x14:formula1>
            <xm:f>'Basic Info'!$A$3:$A$31</xm:f>
          </x14:formula1>
          <xm:sqref>E3:E248</xm:sqref>
        </x14:dataValidation>
        <x14:dataValidation type="list" allowBlank="1" showInputMessage="1" showErrorMessage="1" xr:uid="{15E10900-4D5C-4F16-B980-97218D9F3CB6}">
          <x14:formula1>
            <xm:f>'Basic Info'!$C$33:$C$66</xm:f>
          </x14:formula1>
          <xm:sqref>G207:G248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B2952-324A-4DA1-B4FE-8BC17D322196}">
  <sheetPr codeName="Sheet2"/>
  <dimension ref="A1:H133"/>
  <sheetViews>
    <sheetView zoomScale="80" zoomScaleNormal="80" workbookViewId="0">
      <selection activeCell="C26" sqref="C26"/>
    </sheetView>
  </sheetViews>
  <sheetFormatPr defaultRowHeight="14.5"/>
  <cols>
    <col min="1" max="1" width="19.453125" bestFit="1" customWidth="1"/>
    <col min="2" max="2" width="21.453125" bestFit="1" customWidth="1"/>
    <col min="3" max="3" width="26.453125" customWidth="1"/>
    <col min="4" max="4" width="37.453125" customWidth="1"/>
    <col min="5" max="5" width="50.453125" customWidth="1"/>
    <col min="6" max="6" width="37.1796875" hidden="1" customWidth="1"/>
    <col min="7" max="7" width="83" customWidth="1"/>
    <col min="8" max="8" width="19.453125" bestFit="1" customWidth="1"/>
    <col min="9" max="9" width="18.453125" bestFit="1" customWidth="1"/>
    <col min="10" max="10" width="37.1796875" bestFit="1" customWidth="1"/>
    <col min="11" max="11" width="13.453125" bestFit="1" customWidth="1"/>
    <col min="12" max="12" width="21" bestFit="1" customWidth="1"/>
    <col min="13" max="13" width="20.1796875" bestFit="1" customWidth="1"/>
    <col min="14" max="14" width="12" bestFit="1" customWidth="1"/>
    <col min="15" max="15" width="21.1796875" bestFit="1" customWidth="1"/>
    <col min="16" max="16" width="7.81640625" bestFit="1" customWidth="1"/>
    <col min="17" max="17" width="11.453125" bestFit="1" customWidth="1"/>
    <col min="18" max="18" width="29.453125" bestFit="1" customWidth="1"/>
    <col min="19" max="19" width="27.81640625" bestFit="1" customWidth="1"/>
    <col min="20" max="20" width="31.453125" bestFit="1" customWidth="1"/>
    <col min="21" max="21" width="14.453125" bestFit="1" customWidth="1"/>
    <col min="22" max="22" width="21.1796875" bestFit="1" customWidth="1"/>
    <col min="23" max="23" width="14.453125" bestFit="1" customWidth="1"/>
    <col min="24" max="24" width="10.453125" bestFit="1" customWidth="1"/>
    <col min="25" max="25" width="9.453125" bestFit="1" customWidth="1"/>
    <col min="26" max="26" width="7.1796875" bestFit="1" customWidth="1"/>
    <col min="27" max="27" width="6.453125" bestFit="1" customWidth="1"/>
    <col min="28" max="28" width="4.1796875" bestFit="1" customWidth="1"/>
    <col min="29" max="29" width="11.453125" bestFit="1" customWidth="1"/>
    <col min="30" max="30" width="17.453125" bestFit="1" customWidth="1"/>
    <col min="31" max="31" width="5" bestFit="1" customWidth="1"/>
    <col min="32" max="32" width="7.1796875" bestFit="1" customWidth="1"/>
    <col min="33" max="33" width="8.1796875" bestFit="1" customWidth="1"/>
    <col min="34" max="35" width="9.453125" bestFit="1" customWidth="1"/>
    <col min="36" max="36" width="7.1796875" bestFit="1" customWidth="1"/>
    <col min="37" max="37" width="6.453125" bestFit="1" customWidth="1"/>
    <col min="38" max="38" width="4.1796875" bestFit="1" customWidth="1"/>
    <col min="39" max="39" width="11.453125" bestFit="1" customWidth="1"/>
    <col min="40" max="40" width="15.81640625" bestFit="1" customWidth="1"/>
    <col min="41" max="41" width="5" bestFit="1" customWidth="1"/>
    <col min="42" max="42" width="7.1796875" bestFit="1" customWidth="1"/>
    <col min="43" max="43" width="8.1796875" bestFit="1" customWidth="1"/>
    <col min="44" max="45" width="9.453125" bestFit="1" customWidth="1"/>
    <col min="46" max="46" width="7.1796875" bestFit="1" customWidth="1"/>
    <col min="47" max="47" width="6.453125" bestFit="1" customWidth="1"/>
    <col min="48" max="48" width="4.1796875" bestFit="1" customWidth="1"/>
    <col min="49" max="49" width="11.453125" bestFit="1" customWidth="1"/>
    <col min="50" max="50" width="15.81640625" bestFit="1" customWidth="1"/>
    <col min="51" max="51" width="5" bestFit="1" customWidth="1"/>
    <col min="52" max="52" width="7.1796875" bestFit="1" customWidth="1"/>
    <col min="53" max="53" width="8.1796875" bestFit="1" customWidth="1"/>
    <col min="54" max="55" width="9.453125" bestFit="1" customWidth="1"/>
    <col min="56" max="56" width="7.1796875" bestFit="1" customWidth="1"/>
    <col min="57" max="57" width="6.453125" bestFit="1" customWidth="1"/>
    <col min="58" max="58" width="4.1796875" bestFit="1" customWidth="1"/>
    <col min="59" max="59" width="11.453125" bestFit="1" customWidth="1"/>
    <col min="60" max="60" width="40.81640625" bestFit="1" customWidth="1"/>
    <col min="61" max="61" width="43.453125" bestFit="1" customWidth="1"/>
    <col min="62" max="62" width="18.453125" bestFit="1" customWidth="1"/>
    <col min="63" max="63" width="22.1796875" bestFit="1" customWidth="1"/>
    <col min="64" max="64" width="19.453125" bestFit="1" customWidth="1"/>
    <col min="65" max="65" width="20.453125" bestFit="1" customWidth="1"/>
    <col min="66" max="124" width="38.81640625" bestFit="1" customWidth="1"/>
    <col min="125" max="125" width="40.81640625" bestFit="1" customWidth="1"/>
    <col min="126" max="126" width="43.453125" bestFit="1" customWidth="1"/>
    <col min="127" max="127" width="18.453125" bestFit="1" customWidth="1"/>
    <col min="128" max="128" width="22.1796875" bestFit="1" customWidth="1"/>
    <col min="129" max="129" width="19.453125" bestFit="1" customWidth="1"/>
    <col min="130" max="130" width="20.453125" bestFit="1" customWidth="1"/>
    <col min="131" max="256" width="38.81640625" bestFit="1" customWidth="1"/>
    <col min="257" max="257" width="40.81640625" bestFit="1" customWidth="1"/>
    <col min="258" max="258" width="43.453125" bestFit="1" customWidth="1"/>
    <col min="259" max="259" width="18.453125" bestFit="1" customWidth="1"/>
    <col min="260" max="260" width="22.1796875" bestFit="1" customWidth="1"/>
    <col min="261" max="261" width="19.453125" bestFit="1" customWidth="1"/>
    <col min="262" max="263" width="20.453125" bestFit="1" customWidth="1"/>
  </cols>
  <sheetData>
    <row r="1" spans="1:8" ht="30" customHeight="1">
      <c r="A1" s="23" t="s">
        <v>8</v>
      </c>
      <c r="B1" s="22" t="s">
        <v>193</v>
      </c>
    </row>
    <row r="2" spans="1:8" ht="30" customHeight="1">
      <c r="A2" s="23" t="s">
        <v>5</v>
      </c>
      <c r="B2" s="22" t="s">
        <v>41</v>
      </c>
    </row>
    <row r="3" spans="1:8" ht="30" customHeight="1">
      <c r="A3" s="23" t="s">
        <v>2</v>
      </c>
      <c r="B3" s="22" t="s">
        <v>166</v>
      </c>
    </row>
    <row r="4" spans="1:8" ht="30" customHeight="1">
      <c r="A4" s="23" t="s">
        <v>3</v>
      </c>
      <c r="B4" s="22" t="s">
        <v>193</v>
      </c>
    </row>
    <row r="6" spans="1:8" ht="18.5">
      <c r="A6" s="20" t="s">
        <v>194</v>
      </c>
      <c r="B6" s="21" t="s">
        <v>195</v>
      </c>
      <c r="C6" s="17" t="s">
        <v>2</v>
      </c>
      <c r="D6" s="17" t="s">
        <v>3</v>
      </c>
      <c r="E6" s="17" t="s">
        <v>14</v>
      </c>
      <c r="F6" s="1"/>
      <c r="G6" s="12"/>
    </row>
    <row r="7" spans="1:8">
      <c r="A7" s="18" t="s">
        <v>224</v>
      </c>
      <c r="B7" s="18">
        <v>1</v>
      </c>
      <c r="C7" s="7" t="str">
        <f>IFERROR(VLOOKUP($A7, 'Job Data'!$A$2:$P$220,2, FALSE), " ")</f>
        <v>Covalent_Lithium</v>
      </c>
      <c r="D7" s="7" t="str">
        <f>IFERROR(VLOOKUP($A7,'Job Data'!$A$2:$P$220,3,FALSE)," ")</f>
        <v>Mount Holland</v>
      </c>
      <c r="E7" s="7" t="str">
        <f>IFERROR(VLOOKUP($A7,'Job Data'!$A$2:$P$220,14,FALSE)," ")</f>
        <v>AQ0016 Mount Holland Lithium Expansion</v>
      </c>
      <c r="F7" s="1" t="str">
        <f>VLOOKUP($A7, 'Job Data'!$A$2:$P$220,15, FALSE)</f>
        <v>C:\Users\wubia\OneDrive - Longi Magnet Australia Pty ltd\Documents - Longi Australia\03 Project Management\Client\Covalent_Lithium\Mount Holland\AQ0016 Mount Holland Lithium Expansion</v>
      </c>
      <c r="G7" s="16" t="str">
        <f>IFERROR(HYPERLINK(SUBSTITUTE(SUBSTITUTE(F7,"C:\Users\wubia\OneDrive - Longi Magnet Australia Pty ltd\Documents - Longi Australia","C:\Users\weiju\Longi Magnet Australia Pty ltd\Longi Australia - Documents"),"\\","\\"),"Open Project Folder")," ")</f>
        <v>Open Project Folder</v>
      </c>
      <c r="H7" s="1"/>
    </row>
    <row r="8" spans="1:8">
      <c r="A8" s="22" t="s">
        <v>217</v>
      </c>
      <c r="B8" s="22">
        <v>1</v>
      </c>
      <c r="C8" s="7" t="str">
        <f>IFERROR(VLOOKUP($A8, 'Job Data'!$A$2:$P$220,2, FALSE), " ")</f>
        <v xml:space="preserve"> </v>
      </c>
      <c r="D8" s="7" t="str">
        <f>IFERROR(VLOOKUP($A8,'Job Data'!$A$2:$P$220,3,FALSE)," ")</f>
        <v xml:space="preserve"> </v>
      </c>
      <c r="E8" s="7" t="str">
        <f>IFERROR(VLOOKUP($A8,'Job Data'!$A$2:$P$220,14,FALSE)," ")</f>
        <v xml:space="preserve"> </v>
      </c>
      <c r="F8" s="1" t="e">
        <f>VLOOKUP($A8, 'Job Data'!$A$2:$P$220,15, FALSE)</f>
        <v>#N/A</v>
      </c>
      <c r="G8" s="16" t="str">
        <f t="shared" ref="G8:G71" si="0">IFERROR(HYPERLINK(SUBSTITUTE(SUBSTITUTE(F8,"C:\Users\wubia\OneDrive - Longi Magnet Australia Pty ltd\Documents - Longi Australia","C:\Users\weiju\Longi Magnet Australia Pty ltd\Longi Australia - Documents"),"\\","\\"),"Open Project Folder")," ")</f>
        <v xml:space="preserve"> </v>
      </c>
      <c r="H8" s="1"/>
    </row>
    <row r="9" spans="1:8">
      <c r="C9" s="7" t="str">
        <f>IFERROR(VLOOKUP($A9, 'Job Data'!$A$2:$P$220,2, FALSE), " ")</f>
        <v xml:space="preserve"> </v>
      </c>
      <c r="D9" s="7" t="str">
        <f>IFERROR(VLOOKUP($A9,'Job Data'!$A$2:$P$220,3,FALSE)," ")</f>
        <v xml:space="preserve"> </v>
      </c>
      <c r="E9" s="7" t="str">
        <f>IFERROR(VLOOKUP($A9,'Job Data'!$A$2:$P$220,14,FALSE)," ")</f>
        <v xml:space="preserve"> </v>
      </c>
      <c r="F9" s="1" t="e">
        <f>VLOOKUP($A9, 'Job Data'!$A$2:$P$220,15, FALSE)</f>
        <v>#N/A</v>
      </c>
      <c r="G9" s="16" t="str">
        <f t="shared" si="0"/>
        <v xml:space="preserve"> </v>
      </c>
      <c r="H9" s="1"/>
    </row>
    <row r="10" spans="1:8">
      <c r="C10" s="7" t="str">
        <f>IFERROR(VLOOKUP($A10, 'Job Data'!$A$2:$P$220,2, FALSE), " ")</f>
        <v xml:space="preserve"> </v>
      </c>
      <c r="D10" s="7" t="str">
        <f>IFERROR(VLOOKUP($A10,'Job Data'!$A$2:$P$220,3,FALSE)," ")</f>
        <v xml:space="preserve"> </v>
      </c>
      <c r="E10" s="7" t="str">
        <f>IFERROR(VLOOKUP($A10,'Job Data'!$A$2:$P$220,14,FALSE)," ")</f>
        <v xml:space="preserve"> </v>
      </c>
      <c r="F10" s="1" t="e">
        <f>VLOOKUP($A10, 'Job Data'!$A$2:$P$220,15, FALSE)</f>
        <v>#N/A</v>
      </c>
      <c r="G10" s="16" t="str">
        <f t="shared" si="0"/>
        <v xml:space="preserve"> </v>
      </c>
      <c r="H10" s="1"/>
    </row>
    <row r="11" spans="1:8">
      <c r="C11" s="7" t="str">
        <f>IFERROR(VLOOKUP($A11, 'Job Data'!$A$2:$P$220,2, FALSE), " ")</f>
        <v xml:space="preserve"> </v>
      </c>
      <c r="D11" s="7" t="str">
        <f>IFERROR(VLOOKUP($A11,'Job Data'!$A$2:$P$220,3,FALSE)," ")</f>
        <v xml:space="preserve"> </v>
      </c>
      <c r="E11" s="7" t="str">
        <f>IFERROR(VLOOKUP($A11,'Job Data'!$A$2:$P$220,14,FALSE)," ")</f>
        <v xml:space="preserve"> </v>
      </c>
      <c r="F11" s="1" t="e">
        <f>VLOOKUP($A11, 'Job Data'!$A$2:$P$220,15, FALSE)</f>
        <v>#N/A</v>
      </c>
      <c r="G11" s="16" t="str">
        <f t="shared" si="0"/>
        <v xml:space="preserve"> </v>
      </c>
      <c r="H11" s="1"/>
    </row>
    <row r="12" spans="1:8">
      <c r="C12" s="7" t="str">
        <f>IFERROR(VLOOKUP($A12, 'Job Data'!$A$2:$P$220,2, FALSE), " ")</f>
        <v xml:space="preserve"> </v>
      </c>
      <c r="D12" s="7" t="str">
        <f>IFERROR(VLOOKUP($A12,'Job Data'!$A$2:$P$220,3,FALSE)," ")</f>
        <v xml:space="preserve"> </v>
      </c>
      <c r="E12" s="7" t="str">
        <f>IFERROR(VLOOKUP($A12,'Job Data'!$A$2:$P$220,14,FALSE)," ")</f>
        <v xml:space="preserve"> </v>
      </c>
      <c r="F12" s="1" t="e">
        <f>VLOOKUP($A12, 'Job Data'!$A$2:$P$220,15, FALSE)</f>
        <v>#N/A</v>
      </c>
      <c r="G12" s="16" t="str">
        <f t="shared" si="0"/>
        <v xml:space="preserve"> </v>
      </c>
      <c r="H12" s="1"/>
    </row>
    <row r="13" spans="1:8">
      <c r="C13" s="7" t="str">
        <f>IFERROR(VLOOKUP($A13, 'Job Data'!$A$2:$P$220,2, FALSE), " ")</f>
        <v xml:space="preserve"> </v>
      </c>
      <c r="D13" s="7" t="str">
        <f>IFERROR(VLOOKUP($A13,'Job Data'!$A$2:$P$220,3,FALSE)," ")</f>
        <v xml:space="preserve"> </v>
      </c>
      <c r="E13" s="7" t="str">
        <f>IFERROR(VLOOKUP($A13,'Job Data'!$A$2:$P$220,14,FALSE)," ")</f>
        <v xml:space="preserve"> </v>
      </c>
      <c r="F13" s="1" t="e">
        <f>VLOOKUP($A13, 'Job Data'!$A$2:$P$220,15, FALSE)</f>
        <v>#N/A</v>
      </c>
      <c r="G13" s="16" t="str">
        <f t="shared" si="0"/>
        <v xml:space="preserve"> </v>
      </c>
      <c r="H13" s="1"/>
    </row>
    <row r="14" spans="1:8">
      <c r="C14" s="7" t="str">
        <f>IFERROR(VLOOKUP($A14, 'Job Data'!$A$2:$P$220,2, FALSE), " ")</f>
        <v xml:space="preserve"> </v>
      </c>
      <c r="D14" s="7" t="str">
        <f>IFERROR(VLOOKUP($A14,'Job Data'!$A$2:$P$220,3,FALSE)," ")</f>
        <v xml:space="preserve"> </v>
      </c>
      <c r="E14" s="7" t="str">
        <f>IFERROR(VLOOKUP($A14,'Job Data'!$A$2:$P$220,14,FALSE)," ")</f>
        <v xml:space="preserve"> </v>
      </c>
      <c r="F14" s="1" t="e">
        <f>VLOOKUP($A14, 'Job Data'!$A$2:$P$220,15, FALSE)</f>
        <v>#N/A</v>
      </c>
      <c r="G14" s="16" t="str">
        <f t="shared" si="0"/>
        <v xml:space="preserve"> </v>
      </c>
      <c r="H14" s="1"/>
    </row>
    <row r="15" spans="1:8">
      <c r="C15" s="7" t="str">
        <f>IFERROR(VLOOKUP($A15, 'Job Data'!$A$2:$P$220,2, FALSE), " ")</f>
        <v xml:space="preserve"> </v>
      </c>
      <c r="D15" s="7" t="str">
        <f>IFERROR(VLOOKUP($A15,'Job Data'!$A$2:$P$220,3,FALSE)," ")</f>
        <v xml:space="preserve"> </v>
      </c>
      <c r="E15" s="7" t="str">
        <f>IFERROR(VLOOKUP($A15,'Job Data'!$A$2:$P$220,14,FALSE)," ")</f>
        <v xml:space="preserve"> </v>
      </c>
      <c r="F15" s="1" t="e">
        <f>VLOOKUP($A15, 'Job Data'!$A$2:$P$220,15, FALSE)</f>
        <v>#N/A</v>
      </c>
      <c r="G15" s="16" t="str">
        <f t="shared" si="0"/>
        <v xml:space="preserve"> </v>
      </c>
      <c r="H15" s="1"/>
    </row>
    <row r="16" spans="1:8">
      <c r="C16" s="7" t="str">
        <f>IFERROR(VLOOKUP($A16, 'Job Data'!$A$2:$P$220,2, FALSE), " ")</f>
        <v xml:space="preserve"> </v>
      </c>
      <c r="D16" s="7" t="str">
        <f>IFERROR(VLOOKUP($A16,'Job Data'!$A$2:$P$220,3,FALSE)," ")</f>
        <v xml:space="preserve"> </v>
      </c>
      <c r="E16" s="7" t="str">
        <f>IFERROR(VLOOKUP($A16,'Job Data'!$A$2:$P$220,14,FALSE)," ")</f>
        <v xml:space="preserve"> </v>
      </c>
      <c r="F16" s="1" t="e">
        <f>VLOOKUP($A16, 'Job Data'!$A$2:$P$220,15, FALSE)</f>
        <v>#N/A</v>
      </c>
      <c r="G16" s="16" t="str">
        <f t="shared" si="0"/>
        <v xml:space="preserve"> </v>
      </c>
      <c r="H16" s="1"/>
    </row>
    <row r="17" spans="3:8">
      <c r="C17" s="7" t="str">
        <f>IFERROR(VLOOKUP($A17, 'Job Data'!$A$2:$P$220,2, FALSE), " ")</f>
        <v xml:space="preserve"> </v>
      </c>
      <c r="D17" s="7" t="str">
        <f>IFERROR(VLOOKUP($A17,'Job Data'!$A$2:$P$220,3,FALSE)," ")</f>
        <v xml:space="preserve"> </v>
      </c>
      <c r="E17" s="7" t="str">
        <f>IFERROR(VLOOKUP($A17,'Job Data'!$A$2:$P$220,14,FALSE)," ")</f>
        <v xml:space="preserve"> </v>
      </c>
      <c r="F17" s="1" t="e">
        <f>VLOOKUP($A17, 'Job Data'!$A$2:$P$220,15, FALSE)</f>
        <v>#N/A</v>
      </c>
      <c r="G17" s="16" t="str">
        <f t="shared" si="0"/>
        <v xml:space="preserve"> </v>
      </c>
      <c r="H17" s="1"/>
    </row>
    <row r="18" spans="3:8">
      <c r="C18" s="7" t="str">
        <f>IFERROR(VLOOKUP($A18, 'Job Data'!$A$2:$P$220,2, FALSE), " ")</f>
        <v xml:space="preserve"> </v>
      </c>
      <c r="D18" s="7" t="str">
        <f>IFERROR(VLOOKUP($A18,'Job Data'!$A$2:$P$220,3,FALSE)," ")</f>
        <v xml:space="preserve"> </v>
      </c>
      <c r="E18" s="7" t="str">
        <f>IFERROR(VLOOKUP($A18,'Job Data'!$A$2:$P$220,14,FALSE)," ")</f>
        <v xml:space="preserve"> </v>
      </c>
      <c r="F18" s="1" t="e">
        <f>VLOOKUP($A18, 'Job Data'!$A$2:$P$220,15, FALSE)</f>
        <v>#N/A</v>
      </c>
      <c r="G18" s="16" t="str">
        <f t="shared" si="0"/>
        <v xml:space="preserve"> </v>
      </c>
      <c r="H18" s="1"/>
    </row>
    <row r="19" spans="3:8">
      <c r="C19" s="7" t="str">
        <f>IFERROR(VLOOKUP($A19, 'Job Data'!$A$2:$P$220,2, FALSE), " ")</f>
        <v xml:space="preserve"> </v>
      </c>
      <c r="D19" s="7" t="str">
        <f>IFERROR(VLOOKUP($A19,'Job Data'!$A$2:$P$220,3,FALSE)," ")</f>
        <v xml:space="preserve"> </v>
      </c>
      <c r="E19" s="7" t="str">
        <f>IFERROR(VLOOKUP($A19,'Job Data'!$A$2:$P$220,14,FALSE)," ")</f>
        <v xml:space="preserve"> </v>
      </c>
      <c r="F19" s="1" t="e">
        <f>VLOOKUP($A19, 'Job Data'!$A$2:$P$220,15, FALSE)</f>
        <v>#N/A</v>
      </c>
      <c r="G19" s="16" t="str">
        <f t="shared" si="0"/>
        <v xml:space="preserve"> </v>
      </c>
      <c r="H19" s="1"/>
    </row>
    <row r="20" spans="3:8">
      <c r="C20" s="7" t="str">
        <f>IFERROR(VLOOKUP($A20, 'Job Data'!$A$2:$P$220,2, FALSE), " ")</f>
        <v xml:space="preserve"> </v>
      </c>
      <c r="D20" s="7" t="str">
        <f>IFERROR(VLOOKUP($A20,'Job Data'!$A$2:$P$220,3,FALSE)," ")</f>
        <v xml:space="preserve"> </v>
      </c>
      <c r="E20" s="7" t="str">
        <f>IFERROR(VLOOKUP($A20,'Job Data'!$A$2:$P$220,14,FALSE)," ")</f>
        <v xml:space="preserve"> </v>
      </c>
      <c r="F20" s="1" t="e">
        <f>VLOOKUP($A20, 'Job Data'!$A$2:$P$220,15, FALSE)</f>
        <v>#N/A</v>
      </c>
      <c r="G20" s="16" t="str">
        <f t="shared" si="0"/>
        <v xml:space="preserve"> </v>
      </c>
      <c r="H20" s="1"/>
    </row>
    <row r="21" spans="3:8">
      <c r="C21" s="7" t="str">
        <f>IFERROR(VLOOKUP($A21, 'Job Data'!$A$2:$P$220,2, FALSE), " ")</f>
        <v xml:space="preserve"> </v>
      </c>
      <c r="D21" s="7" t="str">
        <f>IFERROR(VLOOKUP($A21,'Job Data'!$A$2:$P$220,3,FALSE)," ")</f>
        <v xml:space="preserve"> </v>
      </c>
      <c r="E21" s="7" t="str">
        <f>IFERROR(VLOOKUP($A21,'Job Data'!$A$2:$P$220,14,FALSE)," ")</f>
        <v xml:space="preserve"> </v>
      </c>
      <c r="F21" s="1" t="e">
        <f>VLOOKUP($A21, 'Job Data'!$A$2:$P$220,15, FALSE)</f>
        <v>#N/A</v>
      </c>
      <c r="G21" s="16" t="str">
        <f t="shared" si="0"/>
        <v xml:space="preserve"> </v>
      </c>
      <c r="H21" s="1"/>
    </row>
    <row r="22" spans="3:8">
      <c r="C22" s="7" t="str">
        <f>IFERROR(VLOOKUP($A22, 'Job Data'!$A$2:$P$220,2, FALSE), " ")</f>
        <v xml:space="preserve"> </v>
      </c>
      <c r="D22" s="7" t="str">
        <f>IFERROR(VLOOKUP($A22,'Job Data'!$A$2:$P$220,3,FALSE)," ")</f>
        <v xml:space="preserve"> </v>
      </c>
      <c r="E22" s="7" t="str">
        <f>IFERROR(VLOOKUP($A22,'Job Data'!$A$2:$P$220,14,FALSE)," ")</f>
        <v xml:space="preserve"> </v>
      </c>
      <c r="F22" s="1" t="e">
        <f>VLOOKUP($A22, 'Job Data'!$A$2:$P$220,15, FALSE)</f>
        <v>#N/A</v>
      </c>
      <c r="G22" s="16" t="str">
        <f t="shared" si="0"/>
        <v xml:space="preserve"> </v>
      </c>
      <c r="H22" s="1"/>
    </row>
    <row r="23" spans="3:8">
      <c r="C23" s="7" t="str">
        <f>IFERROR(VLOOKUP($A23, 'Job Data'!$A$2:$P$220,2, FALSE), " ")</f>
        <v xml:space="preserve"> </v>
      </c>
      <c r="D23" s="7" t="str">
        <f>IFERROR(VLOOKUP($A23,'Job Data'!$A$2:$P$220,3,FALSE)," ")</f>
        <v xml:space="preserve"> </v>
      </c>
      <c r="E23" s="7" t="str">
        <f>IFERROR(VLOOKUP($A23,'Job Data'!$A$2:$P$220,14,FALSE)," ")</f>
        <v xml:space="preserve"> </v>
      </c>
      <c r="F23" s="1" t="e">
        <f>VLOOKUP($A23, 'Job Data'!$A$2:$P$220,15, FALSE)</f>
        <v>#N/A</v>
      </c>
      <c r="G23" s="16" t="str">
        <f t="shared" si="0"/>
        <v xml:space="preserve"> </v>
      </c>
      <c r="H23" s="1"/>
    </row>
    <row r="24" spans="3:8">
      <c r="C24" s="7" t="str">
        <f>IFERROR(VLOOKUP($A24, 'Job Data'!$A$2:$P$220,2, FALSE), " ")</f>
        <v xml:space="preserve"> </v>
      </c>
      <c r="D24" s="7" t="str">
        <f>IFERROR(VLOOKUP($A24,'Job Data'!$A$2:$P$220,3,FALSE)," ")</f>
        <v xml:space="preserve"> </v>
      </c>
      <c r="E24" s="7" t="str">
        <f>IFERROR(VLOOKUP($A24,'Job Data'!$A$2:$P$220,14,FALSE)," ")</f>
        <v xml:space="preserve"> </v>
      </c>
      <c r="F24" s="1" t="e">
        <f>VLOOKUP($A24, 'Job Data'!$A$2:$P$220,15, FALSE)</f>
        <v>#N/A</v>
      </c>
      <c r="G24" s="16" t="str">
        <f t="shared" si="0"/>
        <v xml:space="preserve"> </v>
      </c>
      <c r="H24" s="1"/>
    </row>
    <row r="25" spans="3:8">
      <c r="C25" s="7" t="str">
        <f>IFERROR(VLOOKUP($A25, 'Job Data'!$A$2:$P$220,2, FALSE), " ")</f>
        <v xml:space="preserve"> </v>
      </c>
      <c r="D25" s="7" t="str">
        <f>IFERROR(VLOOKUP($A25,'Job Data'!$A$2:$P$220,3,FALSE)," ")</f>
        <v xml:space="preserve"> </v>
      </c>
      <c r="E25" s="7" t="str">
        <f>IFERROR(VLOOKUP($A25,'Job Data'!$A$2:$P$220,14,FALSE)," ")</f>
        <v xml:space="preserve"> </v>
      </c>
      <c r="F25" s="1" t="e">
        <f>VLOOKUP($A25, 'Job Data'!$A$2:$P$220,15, FALSE)</f>
        <v>#N/A</v>
      </c>
      <c r="G25" s="16" t="str">
        <f t="shared" si="0"/>
        <v xml:space="preserve"> </v>
      </c>
      <c r="H25" s="1"/>
    </row>
    <row r="26" spans="3:8">
      <c r="C26" s="7" t="str">
        <f>IFERROR(VLOOKUP($A26, 'Job Data'!$A$2:$P$220,2, FALSE), " ")</f>
        <v xml:space="preserve"> </v>
      </c>
      <c r="D26" s="7" t="str">
        <f>IFERROR(VLOOKUP($A26,'Job Data'!$A$2:$P$220,3,FALSE)," ")</f>
        <v xml:space="preserve"> </v>
      </c>
      <c r="E26" s="7" t="str">
        <f>IFERROR(VLOOKUP($A26,'Job Data'!$A$2:$P$220,14,FALSE)," ")</f>
        <v xml:space="preserve"> </v>
      </c>
      <c r="F26" s="1" t="e">
        <f>VLOOKUP($A26, 'Job Data'!$A$2:$P$220,15, FALSE)</f>
        <v>#N/A</v>
      </c>
      <c r="G26" s="16" t="str">
        <f t="shared" si="0"/>
        <v xml:space="preserve"> </v>
      </c>
      <c r="H26" s="1"/>
    </row>
    <row r="27" spans="3:8" ht="32.5" customHeight="1">
      <c r="C27" s="7" t="str">
        <f>IFERROR(VLOOKUP($A27, 'Job Data'!$A$2:$P$220,2, FALSE), " ")</f>
        <v xml:space="preserve"> </v>
      </c>
      <c r="D27" s="7" t="str">
        <f>IFERROR(VLOOKUP($A27,'Job Data'!$A$2:$P$220,3,FALSE)," ")</f>
        <v xml:space="preserve"> </v>
      </c>
      <c r="E27" s="7" t="str">
        <f>IFERROR(VLOOKUP($A27,'Job Data'!$A$2:$P$220,14,FALSE)," ")</f>
        <v xml:space="preserve"> </v>
      </c>
      <c r="F27" s="1" t="e">
        <f>VLOOKUP($A27, 'Job Data'!$A$2:$P$220,15, FALSE)</f>
        <v>#N/A</v>
      </c>
      <c r="G27" s="16" t="str">
        <f t="shared" si="0"/>
        <v xml:space="preserve"> </v>
      </c>
      <c r="H27" s="1"/>
    </row>
    <row r="28" spans="3:8">
      <c r="C28" s="7" t="str">
        <f>IFERROR(VLOOKUP($A28, 'Job Data'!$A$2:$P$220,2, FALSE), " ")</f>
        <v xml:space="preserve"> </v>
      </c>
      <c r="D28" s="7" t="str">
        <f>IFERROR(VLOOKUP($A28,'Job Data'!$A$2:$P$220,3,FALSE)," ")</f>
        <v xml:space="preserve"> </v>
      </c>
      <c r="E28" s="7" t="str">
        <f>IFERROR(VLOOKUP($A28,'Job Data'!$A$2:$P$220,14,FALSE)," ")</f>
        <v xml:space="preserve"> </v>
      </c>
      <c r="F28" s="1" t="e">
        <f>VLOOKUP($A28, 'Job Data'!$A$2:$P$220,15, FALSE)</f>
        <v>#N/A</v>
      </c>
      <c r="G28" s="16" t="str">
        <f t="shared" si="0"/>
        <v xml:space="preserve"> </v>
      </c>
      <c r="H28" s="1"/>
    </row>
    <row r="29" spans="3:8">
      <c r="C29" s="7" t="str">
        <f>IFERROR(VLOOKUP($A29, 'Job Data'!$A$2:$P$220,2, FALSE), " ")</f>
        <v xml:space="preserve"> </v>
      </c>
      <c r="D29" s="7" t="str">
        <f>IFERROR(VLOOKUP($A29,'Job Data'!$A$2:$P$220,3,FALSE)," ")</f>
        <v xml:space="preserve"> </v>
      </c>
      <c r="E29" s="7" t="str">
        <f>IFERROR(VLOOKUP($A29,'Job Data'!$A$2:$P$220,14,FALSE)," ")</f>
        <v xml:space="preserve"> </v>
      </c>
      <c r="F29" s="1" t="e">
        <f>VLOOKUP($A29, 'Job Data'!$A$2:$P$220,15, FALSE)</f>
        <v>#N/A</v>
      </c>
      <c r="G29" s="16" t="str">
        <f t="shared" si="0"/>
        <v xml:space="preserve"> </v>
      </c>
      <c r="H29" s="1"/>
    </row>
    <row r="30" spans="3:8" ht="32.5" customHeight="1">
      <c r="C30" s="7" t="str">
        <f>IFERROR(VLOOKUP($A30, 'Job Data'!$A$2:$P$220,2, FALSE), " ")</f>
        <v xml:space="preserve"> </v>
      </c>
      <c r="D30" s="7" t="str">
        <f>IFERROR(VLOOKUP($A30,'Job Data'!$A$2:$P$220,3,FALSE)," ")</f>
        <v xml:space="preserve"> </v>
      </c>
      <c r="E30" s="7" t="str">
        <f>IFERROR(VLOOKUP($A30,'Job Data'!$A$2:$P$220,14,FALSE)," ")</f>
        <v xml:space="preserve"> </v>
      </c>
      <c r="F30" s="1" t="e">
        <f>VLOOKUP($A30, 'Job Data'!$A$2:$P$220,15, FALSE)</f>
        <v>#N/A</v>
      </c>
      <c r="G30" s="16" t="str">
        <f t="shared" si="0"/>
        <v xml:space="preserve"> </v>
      </c>
      <c r="H30" s="1"/>
    </row>
    <row r="31" spans="3:8" ht="32.5" customHeight="1">
      <c r="C31" s="7" t="str">
        <f>IFERROR(VLOOKUP($A31, 'Job Data'!$A$2:$P$220,2, FALSE), " ")</f>
        <v xml:space="preserve"> </v>
      </c>
      <c r="D31" s="7" t="str">
        <f>IFERROR(VLOOKUP($A31,'Job Data'!$A$2:$P$220,3,FALSE)," ")</f>
        <v xml:space="preserve"> </v>
      </c>
      <c r="E31" s="7" t="str">
        <f>IFERROR(VLOOKUP($A31,'Job Data'!$A$2:$P$220,14,FALSE)," ")</f>
        <v xml:space="preserve"> </v>
      </c>
      <c r="F31" s="1" t="e">
        <f>VLOOKUP($A31, 'Job Data'!$A$2:$P$220,15, FALSE)</f>
        <v>#N/A</v>
      </c>
      <c r="G31" s="16" t="str">
        <f t="shared" si="0"/>
        <v xml:space="preserve"> </v>
      </c>
      <c r="H31" s="1"/>
    </row>
    <row r="32" spans="3:8" ht="32.5" customHeight="1">
      <c r="C32" s="7" t="str">
        <f>IFERROR(VLOOKUP($A32, 'Job Data'!$A$2:$P$220,2, FALSE), " ")</f>
        <v xml:space="preserve"> </v>
      </c>
      <c r="D32" s="7" t="str">
        <f>IFERROR(VLOOKUP($A32,'Job Data'!$A$2:$P$220,3,FALSE)," ")</f>
        <v xml:space="preserve"> </v>
      </c>
      <c r="E32" s="7" t="str">
        <f>IFERROR(VLOOKUP($A32,'Job Data'!$A$2:$P$220,14,FALSE)," ")</f>
        <v xml:space="preserve"> </v>
      </c>
      <c r="F32" s="1" t="e">
        <f>VLOOKUP($A32, 'Job Data'!$A$2:$P$220,15, FALSE)</f>
        <v>#N/A</v>
      </c>
      <c r="G32" s="16" t="str">
        <f t="shared" si="0"/>
        <v xml:space="preserve"> </v>
      </c>
      <c r="H32" s="1"/>
    </row>
    <row r="33" spans="3:8">
      <c r="C33" s="7" t="str">
        <f>IFERROR(VLOOKUP($A33, 'Job Data'!$A$2:$P$220,2, FALSE), " ")</f>
        <v xml:space="preserve"> </v>
      </c>
      <c r="D33" s="7" t="str">
        <f>IFERROR(VLOOKUP($A33,'Job Data'!$A$2:$P$220,3,FALSE)," ")</f>
        <v xml:space="preserve"> </v>
      </c>
      <c r="E33" s="7" t="str">
        <f>IFERROR(VLOOKUP($A33,'Job Data'!$A$2:$P$220,14,FALSE)," ")</f>
        <v xml:space="preserve"> </v>
      </c>
      <c r="F33" s="1" t="e">
        <f>VLOOKUP($A33, 'Job Data'!$A$2:$P$220,15, FALSE)</f>
        <v>#N/A</v>
      </c>
      <c r="G33" s="16" t="str">
        <f t="shared" si="0"/>
        <v xml:space="preserve"> </v>
      </c>
      <c r="H33" s="1"/>
    </row>
    <row r="34" spans="3:8">
      <c r="C34" s="7" t="str">
        <f>IFERROR(VLOOKUP($A34, 'Job Data'!$A$2:$P$220,2, FALSE), " ")</f>
        <v xml:space="preserve"> </v>
      </c>
      <c r="D34" s="7" t="str">
        <f>IFERROR(VLOOKUP($A34,'Job Data'!$A$2:$P$220,3,FALSE)," ")</f>
        <v xml:space="preserve"> </v>
      </c>
      <c r="E34" s="7" t="str">
        <f>IFERROR(VLOOKUP($A34,'Job Data'!$A$2:$P$220,14,FALSE)," ")</f>
        <v xml:space="preserve"> </v>
      </c>
      <c r="F34" s="1" t="e">
        <f>VLOOKUP($A34, 'Job Data'!$A$2:$P$220,15, FALSE)</f>
        <v>#N/A</v>
      </c>
      <c r="G34" s="16" t="str">
        <f t="shared" si="0"/>
        <v xml:space="preserve"> </v>
      </c>
      <c r="H34" s="1"/>
    </row>
    <row r="35" spans="3:8" ht="32.5" customHeight="1">
      <c r="C35" s="7" t="str">
        <f>IFERROR(VLOOKUP($A35, 'Job Data'!$A$2:$P$220,2, FALSE), " ")</f>
        <v xml:space="preserve"> </v>
      </c>
      <c r="D35" s="7" t="str">
        <f>IFERROR(VLOOKUP($A35,'Job Data'!$A$2:$P$220,3,FALSE)," ")</f>
        <v xml:space="preserve"> </v>
      </c>
      <c r="E35" s="7" t="str">
        <f>IFERROR(VLOOKUP($A35,'Job Data'!$A$2:$P$220,14,FALSE)," ")</f>
        <v xml:space="preserve"> </v>
      </c>
      <c r="F35" s="1" t="e">
        <f>VLOOKUP($A35, 'Job Data'!$A$2:$P$220,15, FALSE)</f>
        <v>#N/A</v>
      </c>
      <c r="G35" s="16" t="str">
        <f t="shared" si="0"/>
        <v xml:space="preserve"> </v>
      </c>
      <c r="H35" s="1"/>
    </row>
    <row r="36" spans="3:8">
      <c r="C36" s="7" t="str">
        <f>IFERROR(VLOOKUP($A36, 'Job Data'!$A$2:$P$220,2, FALSE), " ")</f>
        <v xml:space="preserve"> </v>
      </c>
      <c r="D36" s="7" t="str">
        <f>IFERROR(VLOOKUP($A36,'Job Data'!$A$2:$P$220,3,FALSE)," ")</f>
        <v xml:space="preserve"> </v>
      </c>
      <c r="E36" s="7" t="str">
        <f>IFERROR(VLOOKUP($A36,'Job Data'!$A$2:$P$220,14,FALSE)," ")</f>
        <v xml:space="preserve"> </v>
      </c>
      <c r="F36" s="1" t="e">
        <f>VLOOKUP($A36, 'Job Data'!$A$2:$P$220,15, FALSE)</f>
        <v>#N/A</v>
      </c>
      <c r="G36" s="16" t="str">
        <f t="shared" si="0"/>
        <v xml:space="preserve"> </v>
      </c>
      <c r="H36" s="1"/>
    </row>
    <row r="37" spans="3:8">
      <c r="C37" s="7" t="str">
        <f>IFERROR(VLOOKUP($A37, 'Job Data'!$A$2:$P$220,2, FALSE), " ")</f>
        <v xml:space="preserve"> </v>
      </c>
      <c r="D37" s="7" t="str">
        <f>IFERROR(VLOOKUP($A37,'Job Data'!$A$2:$P$220,3,FALSE)," ")</f>
        <v xml:space="preserve"> </v>
      </c>
      <c r="E37" s="7" t="str">
        <f>IFERROR(VLOOKUP($A37,'Job Data'!$A$2:$P$220,14,FALSE)," ")</f>
        <v xml:space="preserve"> </v>
      </c>
      <c r="F37" s="1" t="e">
        <f>VLOOKUP($A37, 'Job Data'!$A$2:$P$220,15, FALSE)</f>
        <v>#N/A</v>
      </c>
      <c r="G37" s="16" t="str">
        <f t="shared" si="0"/>
        <v xml:space="preserve"> </v>
      </c>
      <c r="H37" s="1"/>
    </row>
    <row r="38" spans="3:8" ht="32.5" customHeight="1">
      <c r="C38" s="7" t="str">
        <f>IFERROR(VLOOKUP($A38, 'Job Data'!$A$2:$P$220,2, FALSE), " ")</f>
        <v xml:space="preserve"> </v>
      </c>
      <c r="D38" s="7" t="str">
        <f>IFERROR(VLOOKUP($A38,'Job Data'!$A$2:$P$220,3,FALSE)," ")</f>
        <v xml:space="preserve"> </v>
      </c>
      <c r="E38" s="7" t="str">
        <f>IFERROR(VLOOKUP($A38,'Job Data'!$A$2:$P$220,14,FALSE)," ")</f>
        <v xml:space="preserve"> </v>
      </c>
      <c r="F38" s="1" t="e">
        <f>VLOOKUP($A38, 'Job Data'!$A$2:$P$220,15, FALSE)</f>
        <v>#N/A</v>
      </c>
      <c r="G38" s="16" t="str">
        <f t="shared" si="0"/>
        <v xml:space="preserve"> </v>
      </c>
      <c r="H38" s="1"/>
    </row>
    <row r="39" spans="3:8">
      <c r="C39" s="7" t="str">
        <f>IFERROR(VLOOKUP($A39, 'Job Data'!$A$2:$P$220,2, FALSE), " ")</f>
        <v xml:space="preserve"> </v>
      </c>
      <c r="D39" s="7" t="str">
        <f>IFERROR(VLOOKUP($A39,'Job Data'!$A$2:$P$220,3,FALSE)," ")</f>
        <v xml:space="preserve"> </v>
      </c>
      <c r="E39" s="7" t="str">
        <f>IFERROR(VLOOKUP($A39,'Job Data'!$A$2:$P$220,14,FALSE)," ")</f>
        <v xml:space="preserve"> </v>
      </c>
      <c r="F39" s="1" t="e">
        <f>VLOOKUP($A39, 'Job Data'!$A$2:$P$220,15, FALSE)</f>
        <v>#N/A</v>
      </c>
      <c r="G39" s="16" t="str">
        <f t="shared" si="0"/>
        <v xml:space="preserve"> </v>
      </c>
      <c r="H39" s="1"/>
    </row>
    <row r="40" spans="3:8">
      <c r="C40" s="7" t="str">
        <f>IFERROR(VLOOKUP($A40, 'Job Data'!$A$2:$P$220,2, FALSE), " ")</f>
        <v xml:space="preserve"> </v>
      </c>
      <c r="D40" s="7" t="str">
        <f>IFERROR(VLOOKUP($A40,'Job Data'!$A$2:$P$220,3,FALSE)," ")</f>
        <v xml:space="preserve"> </v>
      </c>
      <c r="E40" s="7" t="str">
        <f>IFERROR(VLOOKUP($A40,'Job Data'!$A$2:$P$220,14,FALSE)," ")</f>
        <v xml:space="preserve"> </v>
      </c>
      <c r="F40" s="1" t="e">
        <f>VLOOKUP($A40, 'Job Data'!$A$2:$P$220,15, FALSE)</f>
        <v>#N/A</v>
      </c>
      <c r="G40" s="16" t="str">
        <f t="shared" si="0"/>
        <v xml:space="preserve"> </v>
      </c>
      <c r="H40" s="1"/>
    </row>
    <row r="41" spans="3:8">
      <c r="C41" s="7" t="str">
        <f>IFERROR(VLOOKUP($A41, 'Job Data'!$A$2:$P$220,2, FALSE), " ")</f>
        <v xml:space="preserve"> </v>
      </c>
      <c r="D41" s="7" t="str">
        <f>IFERROR(VLOOKUP($A41,'Job Data'!$A$2:$P$220,3,FALSE)," ")</f>
        <v xml:space="preserve"> </v>
      </c>
      <c r="E41" s="7" t="str">
        <f>IFERROR(VLOOKUP($A41,'Job Data'!$A$2:$P$220,14,FALSE)," ")</f>
        <v xml:space="preserve"> </v>
      </c>
      <c r="F41" s="1" t="e">
        <f>VLOOKUP($A41, 'Job Data'!$A$2:$P$220,15, FALSE)</f>
        <v>#N/A</v>
      </c>
      <c r="G41" s="16" t="str">
        <f t="shared" si="0"/>
        <v xml:space="preserve"> </v>
      </c>
      <c r="H41" s="1"/>
    </row>
    <row r="42" spans="3:8" ht="32.5" customHeight="1">
      <c r="C42" s="7" t="str">
        <f>IFERROR(VLOOKUP($A42, 'Job Data'!$A$2:$P$220,2, FALSE), " ")</f>
        <v xml:space="preserve"> </v>
      </c>
      <c r="D42" s="7" t="str">
        <f>IFERROR(VLOOKUP($A42,'Job Data'!$A$2:$P$220,3,FALSE)," ")</f>
        <v xml:space="preserve"> </v>
      </c>
      <c r="E42" s="7" t="str">
        <f>IFERROR(VLOOKUP($A42,'Job Data'!$A$2:$P$220,14,FALSE)," ")</f>
        <v xml:space="preserve"> </v>
      </c>
      <c r="F42" s="1" t="e">
        <f>VLOOKUP($A42, 'Job Data'!$A$2:$P$220,15, FALSE)</f>
        <v>#N/A</v>
      </c>
      <c r="G42" s="16" t="str">
        <f t="shared" si="0"/>
        <v xml:space="preserve"> </v>
      </c>
      <c r="H42" s="1"/>
    </row>
    <row r="43" spans="3:8" ht="32.5" customHeight="1">
      <c r="C43" s="7" t="str">
        <f>IFERROR(VLOOKUP($A43, 'Job Data'!$A$2:$P$220,2, FALSE), " ")</f>
        <v xml:space="preserve"> </v>
      </c>
      <c r="D43" s="7" t="str">
        <f>IFERROR(VLOOKUP($A43,'Job Data'!$A$2:$P$220,3,FALSE)," ")</f>
        <v xml:space="preserve"> </v>
      </c>
      <c r="E43" s="7" t="str">
        <f>IFERROR(VLOOKUP($A43,'Job Data'!$A$2:$P$220,14,FALSE)," ")</f>
        <v xml:space="preserve"> </v>
      </c>
      <c r="F43" s="1" t="e">
        <f>VLOOKUP($A43, 'Job Data'!$A$2:$P$220,15, FALSE)</f>
        <v>#N/A</v>
      </c>
      <c r="G43" s="16" t="str">
        <f t="shared" si="0"/>
        <v xml:space="preserve"> </v>
      </c>
      <c r="H43" s="1"/>
    </row>
    <row r="44" spans="3:8" ht="32.5" customHeight="1">
      <c r="C44" s="7" t="str">
        <f>IFERROR(VLOOKUP($A44, 'Job Data'!$A$2:$P$220,2, FALSE), " ")</f>
        <v xml:space="preserve"> </v>
      </c>
      <c r="D44" s="7" t="str">
        <f>IFERROR(VLOOKUP($A44,'Job Data'!$A$2:$P$220,3,FALSE)," ")</f>
        <v xml:space="preserve"> </v>
      </c>
      <c r="E44" s="7" t="str">
        <f>IFERROR(VLOOKUP($A44,'Job Data'!$A$2:$P$220,14,FALSE)," ")</f>
        <v xml:space="preserve"> </v>
      </c>
      <c r="F44" s="1" t="e">
        <f>VLOOKUP($A44, 'Job Data'!$A$2:$P$220,15, FALSE)</f>
        <v>#N/A</v>
      </c>
      <c r="G44" s="16" t="str">
        <f t="shared" si="0"/>
        <v xml:space="preserve"> </v>
      </c>
      <c r="H44" s="1"/>
    </row>
    <row r="45" spans="3:8" ht="32.5" customHeight="1">
      <c r="C45" s="7" t="str">
        <f>IFERROR(VLOOKUP($A45, 'Job Data'!$A$2:$P$220,2, FALSE), " ")</f>
        <v xml:space="preserve"> </v>
      </c>
      <c r="D45" s="7" t="str">
        <f>IFERROR(VLOOKUP($A45,'Job Data'!$A$2:$P$220,3,FALSE)," ")</f>
        <v xml:space="preserve"> </v>
      </c>
      <c r="E45" s="7" t="str">
        <f>IFERROR(VLOOKUP($A45,'Job Data'!$A$2:$P$220,14,FALSE)," ")</f>
        <v xml:space="preserve"> </v>
      </c>
      <c r="F45" s="1" t="e">
        <f>VLOOKUP($A45, 'Job Data'!$A$2:$P$220,15, FALSE)</f>
        <v>#N/A</v>
      </c>
      <c r="G45" s="16" t="str">
        <f t="shared" si="0"/>
        <v xml:space="preserve"> </v>
      </c>
      <c r="H45" s="1"/>
    </row>
    <row r="46" spans="3:8" ht="32.5" customHeight="1">
      <c r="C46" s="7" t="str">
        <f>IFERROR(VLOOKUP($A46, 'Job Data'!$A$2:$P$220,2, FALSE), " ")</f>
        <v xml:space="preserve"> </v>
      </c>
      <c r="D46" s="7" t="str">
        <f>IFERROR(VLOOKUP($A46,'Job Data'!$A$2:$P$220,3,FALSE)," ")</f>
        <v xml:space="preserve"> </v>
      </c>
      <c r="E46" s="7" t="str">
        <f>IFERROR(VLOOKUP($A46,'Job Data'!$A$2:$P$220,14,FALSE)," ")</f>
        <v xml:space="preserve"> </v>
      </c>
      <c r="F46" s="1" t="e">
        <f>VLOOKUP($A46, 'Job Data'!$A$2:$P$220,15, FALSE)</f>
        <v>#N/A</v>
      </c>
      <c r="G46" s="16" t="str">
        <f t="shared" si="0"/>
        <v xml:space="preserve"> </v>
      </c>
      <c r="H46" s="1"/>
    </row>
    <row r="47" spans="3:8">
      <c r="C47" s="7" t="str">
        <f>IFERROR(VLOOKUP($A47, 'Job Data'!$A$2:$P$220,2, FALSE), " ")</f>
        <v xml:space="preserve"> </v>
      </c>
      <c r="D47" s="7" t="str">
        <f>IFERROR(VLOOKUP($A47,'Job Data'!$A$2:$P$220,3,FALSE)," ")</f>
        <v xml:space="preserve"> </v>
      </c>
      <c r="E47" s="7" t="str">
        <f>IFERROR(VLOOKUP($A47,'Job Data'!$A$2:$P$220,14,FALSE)," ")</f>
        <v xml:space="preserve"> </v>
      </c>
      <c r="F47" s="1" t="e">
        <f>VLOOKUP($A47, 'Job Data'!$A$2:$P$220,15, FALSE)</f>
        <v>#N/A</v>
      </c>
      <c r="G47" s="16" t="str">
        <f t="shared" si="0"/>
        <v xml:space="preserve"> </v>
      </c>
      <c r="H47" s="1"/>
    </row>
    <row r="48" spans="3:8">
      <c r="C48" s="7" t="str">
        <f>IFERROR(VLOOKUP($A48, 'Job Data'!$A$2:$P$220,2, FALSE), " ")</f>
        <v xml:space="preserve"> </v>
      </c>
      <c r="D48" s="7" t="str">
        <f>IFERROR(VLOOKUP($A48,'Job Data'!$A$2:$P$220,3,FALSE)," ")</f>
        <v xml:space="preserve"> </v>
      </c>
      <c r="E48" s="7" t="str">
        <f>IFERROR(VLOOKUP($A48,'Job Data'!$A$2:$P$220,14,FALSE)," ")</f>
        <v xml:space="preserve"> </v>
      </c>
      <c r="F48" s="1" t="e">
        <f>VLOOKUP($A48, 'Job Data'!$A$2:$P$220,15, FALSE)</f>
        <v>#N/A</v>
      </c>
      <c r="G48" s="16" t="str">
        <f t="shared" si="0"/>
        <v xml:space="preserve"> </v>
      </c>
      <c r="H48" s="1"/>
    </row>
    <row r="49" spans="3:8">
      <c r="C49" s="7" t="str">
        <f>IFERROR(VLOOKUP($A49, 'Job Data'!$A$2:$P$220,2, FALSE), " ")</f>
        <v xml:space="preserve"> </v>
      </c>
      <c r="D49" s="7" t="str">
        <f>IFERROR(VLOOKUP($A49,'Job Data'!$A$2:$P$220,3,FALSE)," ")</f>
        <v xml:space="preserve"> </v>
      </c>
      <c r="E49" s="7" t="str">
        <f>IFERROR(VLOOKUP($A49,'Job Data'!$A$2:$P$220,14,FALSE)," ")</f>
        <v xml:space="preserve"> </v>
      </c>
      <c r="F49" s="1" t="e">
        <f>VLOOKUP($A49, 'Job Data'!$A$2:$P$220,15, FALSE)</f>
        <v>#N/A</v>
      </c>
      <c r="G49" s="16" t="str">
        <f t="shared" si="0"/>
        <v xml:space="preserve"> </v>
      </c>
      <c r="H49" s="1"/>
    </row>
    <row r="50" spans="3:8" ht="32.5" customHeight="1">
      <c r="C50" s="7" t="str">
        <f>IFERROR(VLOOKUP($A50, 'Job Data'!$A$2:$P$220,2, FALSE), " ")</f>
        <v xml:space="preserve"> </v>
      </c>
      <c r="D50" s="7" t="str">
        <f>IFERROR(VLOOKUP($A50,'Job Data'!$A$2:$P$220,3,FALSE)," ")</f>
        <v xml:space="preserve"> </v>
      </c>
      <c r="E50" s="7" t="str">
        <f>IFERROR(VLOOKUP($A50,'Job Data'!$A$2:$P$220,14,FALSE)," ")</f>
        <v xml:space="preserve"> </v>
      </c>
      <c r="F50" s="1" t="e">
        <f>VLOOKUP($A50, 'Job Data'!$A$2:$P$220,15, FALSE)</f>
        <v>#N/A</v>
      </c>
      <c r="G50" s="16" t="str">
        <f t="shared" si="0"/>
        <v xml:space="preserve"> </v>
      </c>
      <c r="H50" s="1"/>
    </row>
    <row r="51" spans="3:8" ht="32.5" customHeight="1">
      <c r="C51" s="7" t="str">
        <f>IFERROR(VLOOKUP($A51, 'Job Data'!$A$2:$P$220,2, FALSE), " ")</f>
        <v xml:space="preserve"> </v>
      </c>
      <c r="D51" s="7" t="str">
        <f>IFERROR(VLOOKUP($A51,'Job Data'!$A$2:$P$220,3,FALSE)," ")</f>
        <v xml:space="preserve"> </v>
      </c>
      <c r="E51" s="7" t="str">
        <f>IFERROR(VLOOKUP($A51,'Job Data'!$A$2:$P$220,14,FALSE)," ")</f>
        <v xml:space="preserve"> </v>
      </c>
      <c r="F51" s="1" t="e">
        <f>VLOOKUP($A51, 'Job Data'!$A$2:$P$220,15, FALSE)</f>
        <v>#N/A</v>
      </c>
      <c r="G51" s="16" t="str">
        <f t="shared" si="0"/>
        <v xml:space="preserve"> </v>
      </c>
      <c r="H51" s="1"/>
    </row>
    <row r="52" spans="3:8" ht="32.5" customHeight="1">
      <c r="C52" s="7" t="str">
        <f>IFERROR(VLOOKUP($A52, 'Job Data'!$A$2:$P$220,2, FALSE), " ")</f>
        <v xml:space="preserve"> </v>
      </c>
      <c r="D52" s="7" t="str">
        <f>IFERROR(VLOOKUP($A52,'Job Data'!$A$2:$P$220,3,FALSE)," ")</f>
        <v xml:space="preserve"> </v>
      </c>
      <c r="E52" s="7" t="str">
        <f>IFERROR(VLOOKUP($A52,'Job Data'!$A$2:$P$220,14,FALSE)," ")</f>
        <v xml:space="preserve"> </v>
      </c>
      <c r="F52" s="1" t="e">
        <f>VLOOKUP($A52, 'Job Data'!$A$2:$P$220,15, FALSE)</f>
        <v>#N/A</v>
      </c>
      <c r="G52" s="16" t="str">
        <f t="shared" si="0"/>
        <v xml:space="preserve"> </v>
      </c>
      <c r="H52" s="1"/>
    </row>
    <row r="53" spans="3:8" ht="32.5" customHeight="1">
      <c r="C53" s="7" t="str">
        <f>IFERROR(VLOOKUP($A53, 'Job Data'!$A$2:$P$220,2, FALSE), " ")</f>
        <v xml:space="preserve"> </v>
      </c>
      <c r="D53" s="7" t="str">
        <f>IFERROR(VLOOKUP($A53,'Job Data'!$A$2:$P$220,3,FALSE)," ")</f>
        <v xml:space="preserve"> </v>
      </c>
      <c r="E53" s="7" t="str">
        <f>IFERROR(VLOOKUP($A53,'Job Data'!$A$2:$P$220,14,FALSE)," ")</f>
        <v xml:space="preserve"> </v>
      </c>
      <c r="F53" s="1" t="e">
        <f>VLOOKUP($A53, 'Job Data'!$A$2:$P$220,15, FALSE)</f>
        <v>#N/A</v>
      </c>
      <c r="G53" s="16" t="str">
        <f t="shared" si="0"/>
        <v xml:space="preserve"> </v>
      </c>
      <c r="H53" s="1"/>
    </row>
    <row r="54" spans="3:8" ht="32.5" customHeight="1">
      <c r="C54" s="7" t="str">
        <f>IFERROR(VLOOKUP($A54, 'Job Data'!$A$2:$P$220,2, FALSE), " ")</f>
        <v xml:space="preserve"> </v>
      </c>
      <c r="D54" s="7" t="str">
        <f>IFERROR(VLOOKUP($A54,'Job Data'!$A$2:$P$220,3,FALSE)," ")</f>
        <v xml:space="preserve"> </v>
      </c>
      <c r="E54" s="7" t="str">
        <f>IFERROR(VLOOKUP($A54,'Job Data'!$A$2:$P$220,14,FALSE)," ")</f>
        <v xml:space="preserve"> </v>
      </c>
      <c r="F54" s="1" t="e">
        <f>VLOOKUP($A54, 'Job Data'!$A$2:$P$220,15, FALSE)</f>
        <v>#N/A</v>
      </c>
      <c r="G54" s="16" t="str">
        <f t="shared" si="0"/>
        <v xml:space="preserve"> </v>
      </c>
      <c r="H54" s="1"/>
    </row>
    <row r="55" spans="3:8" ht="32.5" customHeight="1">
      <c r="C55" s="7" t="str">
        <f>IFERROR(VLOOKUP($A55, 'Job Data'!$A$2:$P$220,2, FALSE), " ")</f>
        <v xml:space="preserve"> </v>
      </c>
      <c r="D55" s="7" t="str">
        <f>IFERROR(VLOOKUP($A55,'Job Data'!$A$2:$P$220,3,FALSE)," ")</f>
        <v xml:space="preserve"> </v>
      </c>
      <c r="E55" s="7" t="str">
        <f>IFERROR(VLOOKUP($A55,'Job Data'!$A$2:$P$220,14,FALSE)," ")</f>
        <v xml:space="preserve"> </v>
      </c>
      <c r="F55" s="1" t="e">
        <f>VLOOKUP($A55, 'Job Data'!$A$2:$P$220,15, FALSE)</f>
        <v>#N/A</v>
      </c>
      <c r="G55" s="16" t="str">
        <f t="shared" si="0"/>
        <v xml:space="preserve"> </v>
      </c>
      <c r="H55" s="1"/>
    </row>
    <row r="56" spans="3:8" ht="32.5" customHeight="1">
      <c r="C56" s="7" t="str">
        <f>IFERROR(VLOOKUP($A56, 'Job Data'!$A$2:$P$220,2, FALSE), " ")</f>
        <v xml:space="preserve"> </v>
      </c>
      <c r="D56" s="7" t="str">
        <f>IFERROR(VLOOKUP($A56,'Job Data'!$A$2:$P$220,3,FALSE)," ")</f>
        <v xml:space="preserve"> </v>
      </c>
      <c r="E56" s="7" t="str">
        <f>IFERROR(VLOOKUP($A56,'Job Data'!$A$2:$P$220,14,FALSE)," ")</f>
        <v xml:space="preserve"> </v>
      </c>
      <c r="F56" s="1" t="e">
        <f>VLOOKUP($A56, 'Job Data'!$A$2:$P$220,15, FALSE)</f>
        <v>#N/A</v>
      </c>
      <c r="G56" s="16" t="str">
        <f t="shared" si="0"/>
        <v xml:space="preserve"> </v>
      </c>
      <c r="H56" s="1"/>
    </row>
    <row r="57" spans="3:8" ht="32.5" customHeight="1">
      <c r="C57" s="7" t="str">
        <f>IFERROR(VLOOKUP($A57, 'Job Data'!$A$2:$P$220,2, FALSE), " ")</f>
        <v xml:space="preserve"> </v>
      </c>
      <c r="D57" s="7" t="str">
        <f>IFERROR(VLOOKUP($A57,'Job Data'!$A$2:$P$220,3,FALSE)," ")</f>
        <v xml:space="preserve"> </v>
      </c>
      <c r="E57" s="7" t="str">
        <f>IFERROR(VLOOKUP($A57,'Job Data'!$A$2:$P$220,14,FALSE)," ")</f>
        <v xml:space="preserve"> </v>
      </c>
      <c r="F57" s="1" t="e">
        <f>VLOOKUP($A57, 'Job Data'!$A$2:$P$220,15, FALSE)</f>
        <v>#N/A</v>
      </c>
      <c r="G57" s="16" t="str">
        <f t="shared" si="0"/>
        <v xml:space="preserve"> </v>
      </c>
      <c r="H57" s="1"/>
    </row>
    <row r="58" spans="3:8" ht="32.5" customHeight="1">
      <c r="C58" s="7" t="str">
        <f>IFERROR(VLOOKUP($A58, 'Job Data'!$A$2:$P$220,2, FALSE), " ")</f>
        <v xml:space="preserve"> </v>
      </c>
      <c r="D58" s="7" t="str">
        <f>IFERROR(VLOOKUP($A58,'Job Data'!$A$2:$P$220,3,FALSE)," ")</f>
        <v xml:space="preserve"> </v>
      </c>
      <c r="E58" s="7" t="str">
        <f>IFERROR(VLOOKUP($A58,'Job Data'!$A$2:$P$220,14,FALSE)," ")</f>
        <v xml:space="preserve"> </v>
      </c>
      <c r="F58" s="1" t="e">
        <f>VLOOKUP($A58, 'Job Data'!$A$2:$P$220,15, FALSE)</f>
        <v>#N/A</v>
      </c>
      <c r="G58" s="16" t="str">
        <f t="shared" si="0"/>
        <v xml:space="preserve"> </v>
      </c>
      <c r="H58" s="1"/>
    </row>
    <row r="59" spans="3:8" ht="32.5" customHeight="1">
      <c r="C59" s="7" t="str">
        <f>IFERROR(VLOOKUP($A59, 'Job Data'!$A$2:$P$220,2, FALSE), " ")</f>
        <v xml:space="preserve"> </v>
      </c>
      <c r="D59" s="7" t="str">
        <f>IFERROR(VLOOKUP($A59,'Job Data'!$A$2:$P$220,3,FALSE)," ")</f>
        <v xml:space="preserve"> </v>
      </c>
      <c r="E59" s="7" t="str">
        <f>IFERROR(VLOOKUP($A59,'Job Data'!$A$2:$P$220,14,FALSE)," ")</f>
        <v xml:space="preserve"> </v>
      </c>
      <c r="F59" s="1" t="e">
        <f>VLOOKUP($A59, 'Job Data'!$A$2:$P$220,15, FALSE)</f>
        <v>#N/A</v>
      </c>
      <c r="G59" s="16" t="str">
        <f t="shared" si="0"/>
        <v xml:space="preserve"> </v>
      </c>
      <c r="H59" s="1"/>
    </row>
    <row r="60" spans="3:8" ht="32.5" customHeight="1">
      <c r="C60" s="7" t="str">
        <f>IFERROR(VLOOKUP($A60, 'Job Data'!$A$2:$P$220,2, FALSE), " ")</f>
        <v xml:space="preserve"> </v>
      </c>
      <c r="D60" s="7" t="str">
        <f>IFERROR(VLOOKUP($A60,'Job Data'!$A$2:$P$220,3,FALSE)," ")</f>
        <v xml:space="preserve"> </v>
      </c>
      <c r="E60" s="7" t="str">
        <f>IFERROR(VLOOKUP($A60,'Job Data'!$A$2:$P$220,14,FALSE)," ")</f>
        <v xml:space="preserve"> </v>
      </c>
      <c r="F60" s="1" t="e">
        <f>VLOOKUP($A60, 'Job Data'!$A$2:$P$220,15, FALSE)</f>
        <v>#N/A</v>
      </c>
      <c r="G60" s="16" t="str">
        <f t="shared" si="0"/>
        <v xml:space="preserve"> </v>
      </c>
      <c r="H60" s="1"/>
    </row>
    <row r="61" spans="3:8" ht="32.5" customHeight="1">
      <c r="C61" s="7" t="str">
        <f>IFERROR(VLOOKUP($A61, 'Job Data'!$A$2:$P$220,2, FALSE), " ")</f>
        <v xml:space="preserve"> </v>
      </c>
      <c r="D61" s="7" t="str">
        <f>IFERROR(VLOOKUP($A61,'Job Data'!$A$2:$P$220,3,FALSE)," ")</f>
        <v xml:space="preserve"> </v>
      </c>
      <c r="E61" s="7" t="str">
        <f>IFERROR(VLOOKUP($A61,'Job Data'!$A$2:$P$220,14,FALSE)," ")</f>
        <v xml:space="preserve"> </v>
      </c>
      <c r="F61" s="1" t="e">
        <f>VLOOKUP($A61, 'Job Data'!$A$2:$P$220,15, FALSE)</f>
        <v>#N/A</v>
      </c>
      <c r="G61" s="16" t="str">
        <f t="shared" si="0"/>
        <v xml:space="preserve"> </v>
      </c>
      <c r="H61" s="1"/>
    </row>
    <row r="62" spans="3:8" ht="32.5" customHeight="1">
      <c r="C62" s="7" t="str">
        <f>IFERROR(VLOOKUP($A62, 'Job Data'!$A$2:$P$220,2, FALSE), " ")</f>
        <v xml:space="preserve"> </v>
      </c>
      <c r="D62" s="7" t="str">
        <f>IFERROR(VLOOKUP($A62,'Job Data'!$A$2:$P$220,3,FALSE)," ")</f>
        <v xml:space="preserve"> </v>
      </c>
      <c r="E62" s="7" t="str">
        <f>IFERROR(VLOOKUP($A62,'Job Data'!$A$2:$P$220,14,FALSE)," ")</f>
        <v xml:space="preserve"> </v>
      </c>
      <c r="F62" s="1" t="e">
        <f>VLOOKUP($A62, 'Job Data'!$A$2:$P$220,15, FALSE)</f>
        <v>#N/A</v>
      </c>
      <c r="G62" s="16" t="str">
        <f t="shared" si="0"/>
        <v xml:space="preserve"> </v>
      </c>
      <c r="H62" s="1"/>
    </row>
    <row r="63" spans="3:8" ht="32.5" customHeight="1">
      <c r="C63" s="7" t="str">
        <f>IFERROR(VLOOKUP($A63, 'Job Data'!$A$2:$P$220,2, FALSE), " ")</f>
        <v xml:space="preserve"> </v>
      </c>
      <c r="D63" s="7" t="str">
        <f>IFERROR(VLOOKUP($A63,'Job Data'!$A$2:$P$220,3,FALSE)," ")</f>
        <v xml:space="preserve"> </v>
      </c>
      <c r="E63" s="7" t="str">
        <f>IFERROR(VLOOKUP($A63,'Job Data'!$A$2:$P$220,14,FALSE)," ")</f>
        <v xml:space="preserve"> </v>
      </c>
      <c r="F63" s="1" t="e">
        <f>VLOOKUP($A63, 'Job Data'!$A$2:$P$220,15, FALSE)</f>
        <v>#N/A</v>
      </c>
      <c r="G63" s="16" t="str">
        <f t="shared" si="0"/>
        <v xml:space="preserve"> </v>
      </c>
      <c r="H63" s="1"/>
    </row>
    <row r="64" spans="3:8" ht="32.5" customHeight="1">
      <c r="C64" s="7" t="str">
        <f>IFERROR(VLOOKUP($A64, 'Job Data'!$A$2:$P$220,2, FALSE), " ")</f>
        <v xml:space="preserve"> </v>
      </c>
      <c r="D64" s="7" t="str">
        <f>IFERROR(VLOOKUP($A64,'Job Data'!$A$2:$P$220,3,FALSE)," ")</f>
        <v xml:space="preserve"> </v>
      </c>
      <c r="E64" s="7" t="str">
        <f>IFERROR(VLOOKUP($A64,'Job Data'!$A$2:$P$220,14,FALSE)," ")</f>
        <v xml:space="preserve"> </v>
      </c>
      <c r="F64" s="1" t="e">
        <f>VLOOKUP($A64, 'Job Data'!$A$2:$P$220,15, FALSE)</f>
        <v>#N/A</v>
      </c>
      <c r="G64" s="16" t="str">
        <f t="shared" si="0"/>
        <v xml:space="preserve"> </v>
      </c>
      <c r="H64" s="1"/>
    </row>
    <row r="65" spans="3:8" ht="32.5" customHeight="1">
      <c r="C65" s="7" t="str">
        <f>IFERROR(VLOOKUP($A65, 'Job Data'!$A$2:$P$220,2, FALSE), " ")</f>
        <v xml:space="preserve"> </v>
      </c>
      <c r="D65" s="7" t="str">
        <f>IFERROR(VLOOKUP($A65,'Job Data'!$A$2:$P$220,3,FALSE)," ")</f>
        <v xml:space="preserve"> </v>
      </c>
      <c r="E65" s="7" t="str">
        <f>IFERROR(VLOOKUP($A65,'Job Data'!$A$2:$P$220,14,FALSE)," ")</f>
        <v xml:space="preserve"> </v>
      </c>
      <c r="F65" s="1" t="e">
        <f>VLOOKUP($A65, 'Job Data'!$A$2:$P$220,15, FALSE)</f>
        <v>#N/A</v>
      </c>
      <c r="G65" s="16" t="str">
        <f t="shared" si="0"/>
        <v xml:space="preserve"> </v>
      </c>
      <c r="H65" s="1"/>
    </row>
    <row r="66" spans="3:8" ht="32.5" customHeight="1">
      <c r="C66" s="7" t="str">
        <f>IFERROR(VLOOKUP($A66, 'Job Data'!$A$2:$P$220,2, FALSE), " ")</f>
        <v xml:space="preserve"> </v>
      </c>
      <c r="D66" s="7" t="str">
        <f>IFERROR(VLOOKUP($A66,'Job Data'!$A$2:$P$220,3,FALSE)," ")</f>
        <v xml:space="preserve"> </v>
      </c>
      <c r="E66" s="7" t="str">
        <f>IFERROR(VLOOKUP($A66,'Job Data'!$A$2:$P$220,14,FALSE)," ")</f>
        <v xml:space="preserve"> </v>
      </c>
      <c r="F66" s="1" t="e">
        <f>VLOOKUP($A66, 'Job Data'!$A$2:$P$220,15, FALSE)</f>
        <v>#N/A</v>
      </c>
      <c r="G66" s="16" t="str">
        <f t="shared" si="0"/>
        <v xml:space="preserve"> </v>
      </c>
      <c r="H66" s="1"/>
    </row>
    <row r="67" spans="3:8" ht="32.5" customHeight="1">
      <c r="C67" s="7" t="str">
        <f>IFERROR(VLOOKUP($A67, 'Job Data'!$A$2:$P$220,2, FALSE), " ")</f>
        <v xml:space="preserve"> </v>
      </c>
      <c r="D67" s="7" t="str">
        <f>IFERROR(VLOOKUP($A67,'Job Data'!$A$2:$P$220,3,FALSE)," ")</f>
        <v xml:space="preserve"> </v>
      </c>
      <c r="E67" s="7" t="str">
        <f>IFERROR(VLOOKUP($A67,'Job Data'!$A$2:$P$220,14,FALSE)," ")</f>
        <v xml:space="preserve"> </v>
      </c>
      <c r="F67" s="1" t="e">
        <f>VLOOKUP($A67, 'Job Data'!$A$2:$P$220,15, FALSE)</f>
        <v>#N/A</v>
      </c>
      <c r="G67" s="16" t="str">
        <f t="shared" si="0"/>
        <v xml:space="preserve"> </v>
      </c>
      <c r="H67" s="1"/>
    </row>
    <row r="68" spans="3:8" ht="32.5" customHeight="1">
      <c r="C68" s="7" t="str">
        <f>IFERROR(VLOOKUP($A68, 'Job Data'!$A$2:$P$220,2, FALSE), " ")</f>
        <v xml:space="preserve"> </v>
      </c>
      <c r="D68" s="7" t="str">
        <f>IFERROR(VLOOKUP($A68,'Job Data'!$A$2:$P$220,3,FALSE)," ")</f>
        <v xml:space="preserve"> </v>
      </c>
      <c r="E68" s="7" t="str">
        <f>IFERROR(VLOOKUP($A68,'Job Data'!$A$2:$P$220,14,FALSE)," ")</f>
        <v xml:space="preserve"> </v>
      </c>
      <c r="F68" s="1" t="e">
        <f>VLOOKUP($A68, 'Job Data'!$A$2:$P$220,15, FALSE)</f>
        <v>#N/A</v>
      </c>
      <c r="G68" s="16" t="str">
        <f t="shared" si="0"/>
        <v xml:space="preserve"> </v>
      </c>
      <c r="H68" s="1"/>
    </row>
    <row r="69" spans="3:8" ht="32.5" customHeight="1">
      <c r="C69" s="7" t="str">
        <f>IFERROR(VLOOKUP($A69, 'Job Data'!$A$2:$P$220,2, FALSE), " ")</f>
        <v xml:space="preserve"> </v>
      </c>
      <c r="D69" s="7" t="str">
        <f>IFERROR(VLOOKUP($A69,'Job Data'!$A$2:$P$220,3,FALSE)," ")</f>
        <v xml:space="preserve"> </v>
      </c>
      <c r="E69" s="7" t="str">
        <f>IFERROR(VLOOKUP($A69,'Job Data'!$A$2:$P$220,14,FALSE)," ")</f>
        <v xml:space="preserve"> </v>
      </c>
      <c r="F69" s="1" t="e">
        <f>VLOOKUP($A69, 'Job Data'!$A$2:$P$220,15, FALSE)</f>
        <v>#N/A</v>
      </c>
      <c r="G69" s="16" t="str">
        <f t="shared" si="0"/>
        <v xml:space="preserve"> </v>
      </c>
      <c r="H69" s="1"/>
    </row>
    <row r="70" spans="3:8" ht="32.5" customHeight="1">
      <c r="C70" s="7" t="str">
        <f>IFERROR(VLOOKUP($A70, 'Job Data'!$A$2:$P$220,2, FALSE), " ")</f>
        <v xml:space="preserve"> </v>
      </c>
      <c r="D70" s="7" t="str">
        <f>IFERROR(VLOOKUP($A70,'Job Data'!$A$2:$P$220,3,FALSE)," ")</f>
        <v xml:space="preserve"> </v>
      </c>
      <c r="E70" s="7" t="str">
        <f>IFERROR(VLOOKUP($A70,'Job Data'!$A$2:$P$220,14,FALSE)," ")</f>
        <v xml:space="preserve"> </v>
      </c>
      <c r="F70" s="1" t="e">
        <f>VLOOKUP($A70, 'Job Data'!$A$2:$P$220,15, FALSE)</f>
        <v>#N/A</v>
      </c>
      <c r="G70" s="16" t="str">
        <f t="shared" si="0"/>
        <v xml:space="preserve"> </v>
      </c>
      <c r="H70" s="1"/>
    </row>
    <row r="71" spans="3:8" ht="32.5" customHeight="1">
      <c r="C71" s="7" t="str">
        <f>IFERROR(VLOOKUP($A71, 'Job Data'!$A$2:$P$220,2, FALSE), " ")</f>
        <v xml:space="preserve"> </v>
      </c>
      <c r="D71" s="7" t="str">
        <f>IFERROR(VLOOKUP($A71,'Job Data'!$A$2:$P$220,3,FALSE)," ")</f>
        <v xml:space="preserve"> </v>
      </c>
      <c r="E71" s="7" t="str">
        <f>IFERROR(VLOOKUP($A71,'Job Data'!$A$2:$P$220,14,FALSE)," ")</f>
        <v xml:space="preserve"> </v>
      </c>
      <c r="F71" s="1" t="e">
        <f>VLOOKUP($A71, 'Job Data'!$A$2:$P$220,15, FALSE)</f>
        <v>#N/A</v>
      </c>
      <c r="G71" s="16" t="str">
        <f t="shared" si="0"/>
        <v xml:space="preserve"> </v>
      </c>
      <c r="H71" s="1"/>
    </row>
    <row r="72" spans="3:8" ht="32.5" customHeight="1">
      <c r="C72" s="7" t="str">
        <f>IFERROR(VLOOKUP($A72, 'Job Data'!$A$2:$P$220,2, FALSE), " ")</f>
        <v xml:space="preserve"> </v>
      </c>
      <c r="D72" s="7" t="str">
        <f>IFERROR(VLOOKUP($A72,'Job Data'!$A$2:$P$220,3,FALSE)," ")</f>
        <v xml:space="preserve"> </v>
      </c>
      <c r="E72" s="7" t="str">
        <f>IFERROR(VLOOKUP($A72,'Job Data'!$A$2:$P$220,14,FALSE)," ")</f>
        <v xml:space="preserve"> </v>
      </c>
      <c r="F72" s="1" t="e">
        <f>VLOOKUP($A72, 'Job Data'!$A$2:$P$220,15, FALSE)</f>
        <v>#N/A</v>
      </c>
      <c r="G72" s="16" t="str">
        <f t="shared" ref="G72:G128" si="1">IFERROR(HYPERLINK(SUBSTITUTE(SUBSTITUTE(F72,"C:\Users\wubia\OneDrive - Longi Magnet Australia Pty ltd\Documents - Longi Australia","C:\Users\weiju\Longi Magnet Australia Pty ltd\Longi Australia - Documents"),"\\","\\"),"Open Project Folder")," ")</f>
        <v xml:space="preserve"> </v>
      </c>
      <c r="H72" s="1"/>
    </row>
    <row r="73" spans="3:8" ht="32.5" customHeight="1">
      <c r="C73" s="7" t="str">
        <f>IFERROR(VLOOKUP($A73, 'Job Data'!$A$2:$P$220,2, FALSE), " ")</f>
        <v xml:space="preserve"> </v>
      </c>
      <c r="D73" s="7" t="str">
        <f>IFERROR(VLOOKUP($A73,'Job Data'!$A$2:$P$220,3,FALSE)," ")</f>
        <v xml:space="preserve"> </v>
      </c>
      <c r="E73" s="7" t="str">
        <f>IFERROR(VLOOKUP($A73,'Job Data'!$A$2:$P$220,14,FALSE)," ")</f>
        <v xml:space="preserve"> </v>
      </c>
      <c r="F73" s="1" t="e">
        <f>VLOOKUP($A73, 'Job Data'!$A$2:$P$220,15, FALSE)</f>
        <v>#N/A</v>
      </c>
      <c r="G73" s="16" t="str">
        <f t="shared" si="1"/>
        <v xml:space="preserve"> </v>
      </c>
      <c r="H73" s="1"/>
    </row>
    <row r="74" spans="3:8" ht="32.5" customHeight="1">
      <c r="C74" s="7" t="str">
        <f>IFERROR(VLOOKUP($A74, 'Job Data'!$A$2:$P$220,2, FALSE), " ")</f>
        <v xml:space="preserve"> </v>
      </c>
      <c r="D74" s="7" t="str">
        <f>IFERROR(VLOOKUP($A74,'Job Data'!$A$2:$P$220,3,FALSE)," ")</f>
        <v xml:space="preserve"> </v>
      </c>
      <c r="E74" s="7" t="str">
        <f>IFERROR(VLOOKUP($A74,'Job Data'!$A$2:$P$220,14,FALSE)," ")</f>
        <v xml:space="preserve"> </v>
      </c>
      <c r="F74" s="1" t="e">
        <f>VLOOKUP($A74, 'Job Data'!$A$2:$P$220,15, FALSE)</f>
        <v>#N/A</v>
      </c>
      <c r="G74" s="16" t="str">
        <f t="shared" si="1"/>
        <v xml:space="preserve"> </v>
      </c>
      <c r="H74" s="1"/>
    </row>
    <row r="75" spans="3:8" ht="32.5" customHeight="1">
      <c r="C75" s="7" t="str">
        <f>IFERROR(VLOOKUP($A75, 'Job Data'!$A$2:$P$220,2, FALSE), " ")</f>
        <v xml:space="preserve"> </v>
      </c>
      <c r="D75" s="7" t="str">
        <f>IFERROR(VLOOKUP($A75,'Job Data'!$A$2:$P$220,3,FALSE)," ")</f>
        <v xml:space="preserve"> </v>
      </c>
      <c r="E75" s="7" t="str">
        <f>IFERROR(VLOOKUP($A75,'Job Data'!$A$2:$P$220,14,FALSE)," ")</f>
        <v xml:space="preserve"> </v>
      </c>
      <c r="F75" s="1" t="e">
        <f>VLOOKUP($A75, 'Job Data'!$A$2:$P$220,15, FALSE)</f>
        <v>#N/A</v>
      </c>
      <c r="G75" s="16" t="str">
        <f t="shared" si="1"/>
        <v xml:space="preserve"> </v>
      </c>
      <c r="H75" s="1"/>
    </row>
    <row r="76" spans="3:8" ht="32.5" customHeight="1">
      <c r="C76" s="7" t="str">
        <f>IFERROR(VLOOKUP($A76, 'Job Data'!$A$2:$P$220,2, FALSE), " ")</f>
        <v xml:space="preserve"> </v>
      </c>
      <c r="D76" s="7" t="str">
        <f>IFERROR(VLOOKUP($A76,'Job Data'!$A$2:$P$220,3,FALSE)," ")</f>
        <v xml:space="preserve"> </v>
      </c>
      <c r="E76" s="7" t="str">
        <f>IFERROR(VLOOKUP($A76,'Job Data'!$A$2:$P$220,14,FALSE)," ")</f>
        <v xml:space="preserve"> </v>
      </c>
      <c r="F76" s="1" t="e">
        <f>VLOOKUP($A76, 'Job Data'!$A$2:$P$220,15, FALSE)</f>
        <v>#N/A</v>
      </c>
      <c r="G76" s="16" t="str">
        <f t="shared" si="1"/>
        <v xml:space="preserve"> </v>
      </c>
      <c r="H76" s="1"/>
    </row>
    <row r="77" spans="3:8" ht="32.5" customHeight="1">
      <c r="C77" s="7" t="str">
        <f>IFERROR(VLOOKUP($A77, 'Job Data'!$A$2:$P$220,2, FALSE), " ")</f>
        <v xml:space="preserve"> </v>
      </c>
      <c r="D77" s="7" t="str">
        <f>IFERROR(VLOOKUP($A77,'Job Data'!$A$2:$P$220,3,FALSE)," ")</f>
        <v xml:space="preserve"> </v>
      </c>
      <c r="E77" s="7" t="str">
        <f>IFERROR(VLOOKUP($A77,'Job Data'!$A$2:$P$220,14,FALSE)," ")</f>
        <v xml:space="preserve"> </v>
      </c>
      <c r="F77" s="1" t="e">
        <f>VLOOKUP($A77, 'Job Data'!$A$2:$P$220,15, FALSE)</f>
        <v>#N/A</v>
      </c>
      <c r="G77" s="16" t="str">
        <f t="shared" si="1"/>
        <v xml:space="preserve"> </v>
      </c>
      <c r="H77" s="1"/>
    </row>
    <row r="78" spans="3:8" ht="32.5" customHeight="1">
      <c r="C78" s="7" t="str">
        <f>IFERROR(VLOOKUP($A78, 'Job Data'!$A$2:$P$220,2, FALSE), " ")</f>
        <v xml:space="preserve"> </v>
      </c>
      <c r="D78" s="7" t="str">
        <f>IFERROR(VLOOKUP($A78,'Job Data'!$A$2:$P$220,3,FALSE)," ")</f>
        <v xml:space="preserve"> </v>
      </c>
      <c r="E78" s="7" t="str">
        <f>IFERROR(VLOOKUP($A78,'Job Data'!$A$2:$P$220,14,FALSE)," ")</f>
        <v xml:space="preserve"> </v>
      </c>
      <c r="F78" s="1" t="e">
        <f>VLOOKUP($A78, 'Job Data'!$A$2:$P$220,15, FALSE)</f>
        <v>#N/A</v>
      </c>
      <c r="G78" s="16" t="str">
        <f t="shared" si="1"/>
        <v xml:space="preserve"> </v>
      </c>
      <c r="H78" s="1"/>
    </row>
    <row r="79" spans="3:8" ht="32.5" customHeight="1">
      <c r="C79" s="7" t="str">
        <f>IFERROR(VLOOKUP($A79, 'Job Data'!$A$2:$P$220,2, FALSE), " ")</f>
        <v xml:space="preserve"> </v>
      </c>
      <c r="D79" s="7" t="str">
        <f>IFERROR(VLOOKUP($A79,'Job Data'!$A$2:$P$220,3,FALSE)," ")</f>
        <v xml:space="preserve"> </v>
      </c>
      <c r="E79" s="7" t="str">
        <f>IFERROR(VLOOKUP($A79,'Job Data'!$A$2:$P$220,14,FALSE)," ")</f>
        <v xml:space="preserve"> </v>
      </c>
      <c r="F79" s="1" t="e">
        <f>VLOOKUP($A79, 'Job Data'!$A$2:$P$220,15, FALSE)</f>
        <v>#N/A</v>
      </c>
      <c r="G79" s="16" t="str">
        <f t="shared" si="1"/>
        <v xml:space="preserve"> </v>
      </c>
      <c r="H79" s="1"/>
    </row>
    <row r="80" spans="3:8" ht="32.5" customHeight="1">
      <c r="C80" s="7" t="str">
        <f>IFERROR(VLOOKUP($A80, 'Job Data'!$A$2:$P$220,2, FALSE), " ")</f>
        <v xml:space="preserve"> </v>
      </c>
      <c r="D80" s="7" t="str">
        <f>IFERROR(VLOOKUP($A80,'Job Data'!$A$2:$P$220,3,FALSE)," ")</f>
        <v xml:space="preserve"> </v>
      </c>
      <c r="E80" s="7" t="str">
        <f>IFERROR(VLOOKUP($A80,'Job Data'!$A$2:$P$220,14,FALSE)," ")</f>
        <v xml:space="preserve"> </v>
      </c>
      <c r="F80" s="1" t="e">
        <f>VLOOKUP($A80, 'Job Data'!$A$2:$P$220,15, FALSE)</f>
        <v>#N/A</v>
      </c>
      <c r="G80" s="16" t="str">
        <f t="shared" si="1"/>
        <v xml:space="preserve"> </v>
      </c>
      <c r="H80" s="1"/>
    </row>
    <row r="81" spans="3:8" ht="32.5" customHeight="1">
      <c r="C81" s="7" t="str">
        <f>IFERROR(VLOOKUP($A81, 'Job Data'!$A$2:$P$220,2, FALSE), " ")</f>
        <v xml:space="preserve"> </v>
      </c>
      <c r="D81" s="7" t="str">
        <f>IFERROR(VLOOKUP($A81,'Job Data'!$A$2:$P$220,3,FALSE)," ")</f>
        <v xml:space="preserve"> </v>
      </c>
      <c r="E81" s="7" t="str">
        <f>IFERROR(VLOOKUP($A81,'Job Data'!$A$2:$P$220,14,FALSE)," ")</f>
        <v xml:space="preserve"> </v>
      </c>
      <c r="F81" s="1" t="e">
        <f>VLOOKUP($A81, 'Job Data'!$A$2:$P$220,15, FALSE)</f>
        <v>#N/A</v>
      </c>
      <c r="G81" s="16" t="str">
        <f t="shared" si="1"/>
        <v xml:space="preserve"> </v>
      </c>
      <c r="H81" s="1"/>
    </row>
    <row r="82" spans="3:8" ht="32.5" customHeight="1">
      <c r="C82" s="7" t="str">
        <f>IFERROR(VLOOKUP($A82, 'Job Data'!$A$2:$P$220,2, FALSE), " ")</f>
        <v xml:space="preserve"> </v>
      </c>
      <c r="D82" s="7" t="str">
        <f>IFERROR(VLOOKUP($A82,'Job Data'!$A$2:$P$220,3,FALSE)," ")</f>
        <v xml:space="preserve"> </v>
      </c>
      <c r="E82" s="7" t="str">
        <f>IFERROR(VLOOKUP($A82,'Job Data'!$A$2:$P$220,14,FALSE)," ")</f>
        <v xml:space="preserve"> </v>
      </c>
      <c r="F82" s="1" t="e">
        <f>VLOOKUP($A82, 'Job Data'!$A$2:$P$220,15, FALSE)</f>
        <v>#N/A</v>
      </c>
      <c r="G82" s="16" t="str">
        <f t="shared" si="1"/>
        <v xml:space="preserve"> </v>
      </c>
      <c r="H82" s="1"/>
    </row>
    <row r="83" spans="3:8" ht="32.5" customHeight="1">
      <c r="C83" s="7" t="str">
        <f>IFERROR(VLOOKUP($A83, 'Job Data'!$A$2:$P$220,2, FALSE), " ")</f>
        <v xml:space="preserve"> </v>
      </c>
      <c r="D83" s="7" t="str">
        <f>IFERROR(VLOOKUP($A83,'Job Data'!$A$2:$P$220,3,FALSE)," ")</f>
        <v xml:space="preserve"> </v>
      </c>
      <c r="E83" s="7" t="str">
        <f>IFERROR(VLOOKUP($A83,'Job Data'!$A$2:$P$220,14,FALSE)," ")</f>
        <v xml:space="preserve"> </v>
      </c>
      <c r="F83" s="1" t="e">
        <f>VLOOKUP($A83, 'Job Data'!$A$2:$P$220,15, FALSE)</f>
        <v>#N/A</v>
      </c>
      <c r="G83" s="16" t="str">
        <f t="shared" si="1"/>
        <v xml:space="preserve"> </v>
      </c>
      <c r="H83" s="1"/>
    </row>
    <row r="84" spans="3:8" ht="32.5" customHeight="1">
      <c r="C84" s="7" t="str">
        <f>IFERROR(VLOOKUP($A84, 'Job Data'!$A$2:$P$220,2, FALSE), " ")</f>
        <v xml:space="preserve"> </v>
      </c>
      <c r="D84" s="7" t="str">
        <f>IFERROR(VLOOKUP($A84,'Job Data'!$A$2:$P$220,3,FALSE)," ")</f>
        <v xml:space="preserve"> </v>
      </c>
      <c r="E84" s="7" t="str">
        <f>IFERROR(VLOOKUP($A84,'Job Data'!$A$2:$P$220,14,FALSE)," ")</f>
        <v xml:space="preserve"> </v>
      </c>
      <c r="F84" s="1" t="e">
        <f>VLOOKUP($A84, 'Job Data'!$A$2:$P$220,15, FALSE)</f>
        <v>#N/A</v>
      </c>
      <c r="G84" s="16" t="str">
        <f t="shared" si="1"/>
        <v xml:space="preserve"> </v>
      </c>
      <c r="H84" s="1"/>
    </row>
    <row r="85" spans="3:8" ht="32.5" customHeight="1">
      <c r="C85" s="7" t="str">
        <f>IFERROR(VLOOKUP($A85, 'Job Data'!$A$2:$P$220,2, FALSE), " ")</f>
        <v xml:space="preserve"> </v>
      </c>
      <c r="D85" s="7" t="str">
        <f>IFERROR(VLOOKUP($A85,'Job Data'!$A$2:$P$220,3,FALSE)," ")</f>
        <v xml:space="preserve"> </v>
      </c>
      <c r="E85" s="7" t="str">
        <f>IFERROR(VLOOKUP($A85,'Job Data'!$A$2:$P$220,14,FALSE)," ")</f>
        <v xml:space="preserve"> </v>
      </c>
      <c r="F85" s="1" t="e">
        <f>VLOOKUP($A85, 'Job Data'!$A$2:$P$220,15, FALSE)</f>
        <v>#N/A</v>
      </c>
      <c r="G85" s="16" t="str">
        <f t="shared" si="1"/>
        <v xml:space="preserve"> </v>
      </c>
      <c r="H85" s="1"/>
    </row>
    <row r="86" spans="3:8" ht="32.5" customHeight="1">
      <c r="C86" s="7" t="str">
        <f>IFERROR(VLOOKUP($A86, 'Job Data'!$A$2:$P$220,2, FALSE), " ")</f>
        <v xml:space="preserve"> </v>
      </c>
      <c r="D86" s="7" t="str">
        <f>IFERROR(VLOOKUP($A86,'Job Data'!$A$2:$P$220,3,FALSE)," ")</f>
        <v xml:space="preserve"> </v>
      </c>
      <c r="E86" s="7" t="str">
        <f>IFERROR(VLOOKUP($A86,'Job Data'!$A$2:$P$220,14,FALSE)," ")</f>
        <v xml:space="preserve"> </v>
      </c>
      <c r="F86" s="1" t="e">
        <f>VLOOKUP($A86, 'Job Data'!$A$2:$P$220,15, FALSE)</f>
        <v>#N/A</v>
      </c>
      <c r="G86" s="16" t="str">
        <f t="shared" si="1"/>
        <v xml:space="preserve"> </v>
      </c>
      <c r="H86" s="1"/>
    </row>
    <row r="87" spans="3:8" ht="32.5" customHeight="1">
      <c r="C87" s="7" t="str">
        <f>IFERROR(VLOOKUP($A87, 'Job Data'!$A$2:$P$220,2, FALSE), " ")</f>
        <v xml:space="preserve"> </v>
      </c>
      <c r="D87" s="7" t="str">
        <f>IFERROR(VLOOKUP($A87,'Job Data'!$A$2:$P$220,3,FALSE)," ")</f>
        <v xml:space="preserve"> </v>
      </c>
      <c r="E87" s="7" t="str">
        <f>IFERROR(VLOOKUP($A87,'Job Data'!$A$2:$P$220,14,FALSE)," ")</f>
        <v xml:space="preserve"> </v>
      </c>
      <c r="F87" s="1" t="e">
        <f>VLOOKUP($A87, 'Job Data'!$A$2:$P$220,15, FALSE)</f>
        <v>#N/A</v>
      </c>
      <c r="G87" s="16" t="str">
        <f t="shared" si="1"/>
        <v xml:space="preserve"> </v>
      </c>
      <c r="H87" s="1"/>
    </row>
    <row r="88" spans="3:8" ht="32.5" customHeight="1">
      <c r="C88" s="7" t="str">
        <f>IFERROR(VLOOKUP($A88, 'Job Data'!$A$2:$P$220,2, FALSE), " ")</f>
        <v xml:space="preserve"> </v>
      </c>
      <c r="D88" s="7" t="str">
        <f>IFERROR(VLOOKUP($A88,'Job Data'!$A$2:$P$220,3,FALSE)," ")</f>
        <v xml:space="preserve"> </v>
      </c>
      <c r="E88" s="7" t="str">
        <f>IFERROR(VLOOKUP($A88,'Job Data'!$A$2:$P$220,14,FALSE)," ")</f>
        <v xml:space="preserve"> </v>
      </c>
      <c r="F88" s="1" t="e">
        <f>VLOOKUP($A88, 'Job Data'!$A$2:$P$220,15, FALSE)</f>
        <v>#N/A</v>
      </c>
      <c r="G88" s="16" t="str">
        <f t="shared" si="1"/>
        <v xml:space="preserve"> </v>
      </c>
      <c r="H88" s="1"/>
    </row>
    <row r="89" spans="3:8" ht="32.5" customHeight="1">
      <c r="C89" s="7" t="str">
        <f>IFERROR(VLOOKUP($A89, 'Job Data'!$A$2:$P$220,2, FALSE), " ")</f>
        <v xml:space="preserve"> </v>
      </c>
      <c r="D89" s="7" t="str">
        <f>IFERROR(VLOOKUP($A89,'Job Data'!$A$2:$P$220,3,FALSE)," ")</f>
        <v xml:space="preserve"> </v>
      </c>
      <c r="E89" s="7" t="str">
        <f>IFERROR(VLOOKUP($A89,'Job Data'!$A$2:$P$220,14,FALSE)," ")</f>
        <v xml:space="preserve"> </v>
      </c>
      <c r="F89" s="1" t="e">
        <f>VLOOKUP($A89, 'Job Data'!$A$2:$P$220,15, FALSE)</f>
        <v>#N/A</v>
      </c>
      <c r="G89" s="16" t="str">
        <f t="shared" si="1"/>
        <v xml:space="preserve"> </v>
      </c>
      <c r="H89" s="1"/>
    </row>
    <row r="90" spans="3:8" ht="32.5" customHeight="1">
      <c r="C90" s="7" t="str">
        <f>IFERROR(VLOOKUP($A90, 'Job Data'!$A$2:$P$220,2, FALSE), " ")</f>
        <v xml:space="preserve"> </v>
      </c>
      <c r="D90" s="7" t="str">
        <f>IFERROR(VLOOKUP($A90,'Job Data'!$A$2:$P$220,3,FALSE)," ")</f>
        <v xml:space="preserve"> </v>
      </c>
      <c r="E90" s="7" t="str">
        <f>IFERROR(VLOOKUP($A90,'Job Data'!$A$2:$P$220,14,FALSE)," ")</f>
        <v xml:space="preserve"> </v>
      </c>
      <c r="F90" s="1" t="e">
        <f>VLOOKUP($A90, 'Job Data'!$A$2:$P$220,15, FALSE)</f>
        <v>#N/A</v>
      </c>
      <c r="G90" s="16" t="str">
        <f t="shared" si="1"/>
        <v xml:space="preserve"> </v>
      </c>
      <c r="H90" s="1"/>
    </row>
    <row r="91" spans="3:8" ht="32.5" customHeight="1">
      <c r="C91" s="7" t="str">
        <f>IFERROR(VLOOKUP($A91, 'Job Data'!$A$2:$P$220,2, FALSE), " ")</f>
        <v xml:space="preserve"> </v>
      </c>
      <c r="D91" s="7" t="str">
        <f>IFERROR(VLOOKUP($A91,'Job Data'!$A$2:$P$220,3,FALSE)," ")</f>
        <v xml:space="preserve"> </v>
      </c>
      <c r="E91" s="7" t="str">
        <f>IFERROR(VLOOKUP($A91,'Job Data'!$A$2:$P$220,14,FALSE)," ")</f>
        <v xml:space="preserve"> </v>
      </c>
      <c r="F91" s="1" t="e">
        <f>VLOOKUP($A91, 'Job Data'!$A$2:$P$220,15, FALSE)</f>
        <v>#N/A</v>
      </c>
      <c r="G91" s="16" t="str">
        <f t="shared" si="1"/>
        <v xml:space="preserve"> </v>
      </c>
      <c r="H91" s="1"/>
    </row>
    <row r="92" spans="3:8" ht="32.5" customHeight="1">
      <c r="C92" s="7" t="str">
        <f>IFERROR(VLOOKUP($A92, 'Job Data'!$A$2:$P$220,2, FALSE), " ")</f>
        <v xml:space="preserve"> </v>
      </c>
      <c r="D92" s="7" t="str">
        <f>IFERROR(VLOOKUP($A92,'Job Data'!$A$2:$P$220,3,FALSE)," ")</f>
        <v xml:space="preserve"> </v>
      </c>
      <c r="E92" s="7" t="str">
        <f>IFERROR(VLOOKUP($A92,'Job Data'!$A$2:$P$220,14,FALSE)," ")</f>
        <v xml:space="preserve"> </v>
      </c>
      <c r="F92" s="1" t="e">
        <f>VLOOKUP($A92, 'Job Data'!$A$2:$P$220,15, FALSE)</f>
        <v>#N/A</v>
      </c>
      <c r="G92" s="16" t="str">
        <f t="shared" si="1"/>
        <v xml:space="preserve"> </v>
      </c>
      <c r="H92" s="1"/>
    </row>
    <row r="93" spans="3:8" ht="32.5" customHeight="1">
      <c r="C93" s="7" t="str">
        <f>IFERROR(VLOOKUP($A93, 'Job Data'!$A$2:$P$220,2, FALSE), " ")</f>
        <v xml:space="preserve"> </v>
      </c>
      <c r="D93" s="7" t="str">
        <f>IFERROR(VLOOKUP($A93,'Job Data'!$A$2:$P$220,3,FALSE)," ")</f>
        <v xml:space="preserve"> </v>
      </c>
      <c r="E93" s="7" t="str">
        <f>IFERROR(VLOOKUP($A93,'Job Data'!$A$2:$P$220,14,FALSE)," ")</f>
        <v xml:space="preserve"> </v>
      </c>
      <c r="F93" s="1" t="e">
        <f>VLOOKUP($A93, 'Job Data'!$A$2:$P$220,15, FALSE)</f>
        <v>#N/A</v>
      </c>
      <c r="G93" s="16" t="str">
        <f t="shared" si="1"/>
        <v xml:space="preserve"> </v>
      </c>
      <c r="H93" s="1"/>
    </row>
    <row r="94" spans="3:8" ht="32.5" customHeight="1">
      <c r="C94" s="7" t="str">
        <f>IFERROR(VLOOKUP($A94, 'Job Data'!$A$2:$P$220,2, FALSE), " ")</f>
        <v xml:space="preserve"> </v>
      </c>
      <c r="D94" s="7" t="str">
        <f>IFERROR(VLOOKUP($A94,'Job Data'!$A$2:$P$220,3,FALSE)," ")</f>
        <v xml:space="preserve"> </v>
      </c>
      <c r="E94" s="7" t="str">
        <f>IFERROR(VLOOKUP($A94,'Job Data'!$A$2:$P$220,14,FALSE)," ")</f>
        <v xml:space="preserve"> </v>
      </c>
      <c r="F94" s="1" t="e">
        <f>VLOOKUP($A94, 'Job Data'!$A$2:$P$220,15, FALSE)</f>
        <v>#N/A</v>
      </c>
      <c r="G94" s="16" t="str">
        <f t="shared" si="1"/>
        <v xml:space="preserve"> </v>
      </c>
      <c r="H94" s="1"/>
    </row>
    <row r="95" spans="3:8" ht="32.5" customHeight="1">
      <c r="C95" s="7" t="str">
        <f>IFERROR(VLOOKUP($A95, 'Job Data'!$A$2:$P$220,2, FALSE), " ")</f>
        <v xml:space="preserve"> </v>
      </c>
      <c r="D95" s="7" t="str">
        <f>IFERROR(VLOOKUP($A95,'Job Data'!$A$2:$P$220,3,FALSE)," ")</f>
        <v xml:space="preserve"> </v>
      </c>
      <c r="E95" s="7" t="str">
        <f>IFERROR(VLOOKUP($A95,'Job Data'!$A$2:$P$220,14,FALSE)," ")</f>
        <v xml:space="preserve"> </v>
      </c>
      <c r="F95" s="1" t="e">
        <f>VLOOKUP($A95, 'Job Data'!$A$2:$P$220,15, FALSE)</f>
        <v>#N/A</v>
      </c>
      <c r="G95" s="16" t="str">
        <f t="shared" si="1"/>
        <v xml:space="preserve"> </v>
      </c>
      <c r="H95" s="1"/>
    </row>
    <row r="96" spans="3:8" ht="32.5" customHeight="1">
      <c r="C96" s="7" t="str">
        <f>IFERROR(VLOOKUP($A96, 'Job Data'!$A$2:$P$220,2, FALSE), " ")</f>
        <v xml:space="preserve"> </v>
      </c>
      <c r="D96" s="7" t="str">
        <f>IFERROR(VLOOKUP($A96,'Job Data'!$A$2:$P$220,3,FALSE)," ")</f>
        <v xml:space="preserve"> </v>
      </c>
      <c r="E96" s="7" t="str">
        <f>IFERROR(VLOOKUP($A96,'Job Data'!$A$2:$P$220,14,FALSE)," ")</f>
        <v xml:space="preserve"> </v>
      </c>
      <c r="F96" s="1" t="e">
        <f>VLOOKUP($A96, 'Job Data'!$A$2:$P$220,15, FALSE)</f>
        <v>#N/A</v>
      </c>
      <c r="G96" s="16" t="str">
        <f t="shared" si="1"/>
        <v xml:space="preserve"> </v>
      </c>
      <c r="H96" s="1"/>
    </row>
    <row r="97" spans="3:8" ht="32.5" customHeight="1">
      <c r="C97" s="7" t="str">
        <f>IFERROR(VLOOKUP($A97, 'Job Data'!$A$2:$P$220,2, FALSE), " ")</f>
        <v xml:space="preserve"> </v>
      </c>
      <c r="D97" s="7" t="str">
        <f>IFERROR(VLOOKUP($A97,'Job Data'!$A$2:$P$220,3,FALSE)," ")</f>
        <v xml:space="preserve"> </v>
      </c>
      <c r="E97" s="7" t="str">
        <f>IFERROR(VLOOKUP($A97,'Job Data'!$A$2:$P$220,14,FALSE)," ")</f>
        <v xml:space="preserve"> </v>
      </c>
      <c r="F97" s="1" t="e">
        <f>VLOOKUP($A97, 'Job Data'!$A$2:$P$220,15, FALSE)</f>
        <v>#N/A</v>
      </c>
      <c r="G97" s="16" t="str">
        <f t="shared" si="1"/>
        <v xml:space="preserve"> </v>
      </c>
      <c r="H97" s="1"/>
    </row>
    <row r="98" spans="3:8" ht="32.5" customHeight="1">
      <c r="C98" s="7" t="str">
        <f>IFERROR(VLOOKUP($A98, 'Job Data'!$A$2:$P$220,2, FALSE), " ")</f>
        <v xml:space="preserve"> </v>
      </c>
      <c r="D98" s="7" t="str">
        <f>IFERROR(VLOOKUP($A98,'Job Data'!$A$2:$P$220,3,FALSE)," ")</f>
        <v xml:space="preserve"> </v>
      </c>
      <c r="E98" s="7" t="str">
        <f>IFERROR(VLOOKUP($A98,'Job Data'!$A$2:$P$220,14,FALSE)," ")</f>
        <v xml:space="preserve"> </v>
      </c>
      <c r="F98" s="1" t="e">
        <f>VLOOKUP($A98, 'Job Data'!$A$2:$P$220,15, FALSE)</f>
        <v>#N/A</v>
      </c>
      <c r="G98" s="16" t="str">
        <f t="shared" si="1"/>
        <v xml:space="preserve"> </v>
      </c>
      <c r="H98" s="1"/>
    </row>
    <row r="99" spans="3:8" ht="32.5" customHeight="1">
      <c r="C99" s="7" t="str">
        <f>IFERROR(VLOOKUP($A99, 'Job Data'!$A$2:$P$220,2, FALSE), " ")</f>
        <v xml:space="preserve"> </v>
      </c>
      <c r="D99" s="7" t="str">
        <f>IFERROR(VLOOKUP($A99,'Job Data'!$A$2:$P$220,3,FALSE)," ")</f>
        <v xml:space="preserve"> </v>
      </c>
      <c r="E99" s="7" t="str">
        <f>IFERROR(VLOOKUP($A99,'Job Data'!$A$2:$P$220,14,FALSE)," ")</f>
        <v xml:space="preserve"> </v>
      </c>
      <c r="F99" s="1" t="e">
        <f>VLOOKUP($A99, 'Job Data'!$A$2:$P$220,15, FALSE)</f>
        <v>#N/A</v>
      </c>
      <c r="G99" s="16" t="str">
        <f t="shared" si="1"/>
        <v xml:space="preserve"> </v>
      </c>
      <c r="H99" s="1"/>
    </row>
    <row r="100" spans="3:8" ht="32.5" customHeight="1">
      <c r="C100" s="7" t="str">
        <f>IFERROR(VLOOKUP($A100, 'Job Data'!$A$2:$P$220,2, FALSE), " ")</f>
        <v xml:space="preserve"> </v>
      </c>
      <c r="D100" s="7" t="str">
        <f>IFERROR(VLOOKUP($A100,'Job Data'!$A$2:$P$220,3,FALSE)," ")</f>
        <v xml:space="preserve"> </v>
      </c>
      <c r="E100" s="7" t="str">
        <f>IFERROR(VLOOKUP($A100,'Job Data'!$A$2:$P$220,14,FALSE)," ")</f>
        <v xml:space="preserve"> </v>
      </c>
      <c r="F100" s="1" t="e">
        <f>VLOOKUP($A100, 'Job Data'!$A$2:$P$220,15, FALSE)</f>
        <v>#N/A</v>
      </c>
      <c r="G100" s="16" t="str">
        <f t="shared" si="1"/>
        <v xml:space="preserve"> </v>
      </c>
      <c r="H100" s="1"/>
    </row>
    <row r="101" spans="3:8" ht="32.5" customHeight="1">
      <c r="C101" s="7" t="str">
        <f>IFERROR(VLOOKUP($A101, 'Job Data'!$A$2:$P$220,2, FALSE), " ")</f>
        <v xml:space="preserve"> </v>
      </c>
      <c r="D101" s="7" t="str">
        <f>IFERROR(VLOOKUP($A101,'Job Data'!$A$2:$P$220,3,FALSE)," ")</f>
        <v xml:space="preserve"> </v>
      </c>
      <c r="E101" s="7" t="str">
        <f>IFERROR(VLOOKUP($A101,'Job Data'!$A$2:$P$220,14,FALSE)," ")</f>
        <v xml:space="preserve"> </v>
      </c>
      <c r="F101" s="1" t="e">
        <f>VLOOKUP($A101, 'Job Data'!$A$2:$P$220,15, FALSE)</f>
        <v>#N/A</v>
      </c>
      <c r="G101" s="16" t="str">
        <f t="shared" si="1"/>
        <v xml:space="preserve"> </v>
      </c>
      <c r="H101" s="1"/>
    </row>
    <row r="102" spans="3:8" ht="32.5" customHeight="1">
      <c r="C102" s="7" t="str">
        <f>IFERROR(VLOOKUP($A102, 'Job Data'!$A$2:$P$220,2, FALSE), " ")</f>
        <v xml:space="preserve"> </v>
      </c>
      <c r="D102" s="7" t="str">
        <f>IFERROR(VLOOKUP($A102,'Job Data'!$A$2:$P$220,3,FALSE)," ")</f>
        <v xml:space="preserve"> </v>
      </c>
      <c r="E102" s="7" t="str">
        <f>IFERROR(VLOOKUP($A102,'Job Data'!$A$2:$P$220,14,FALSE)," ")</f>
        <v xml:space="preserve"> </v>
      </c>
      <c r="F102" s="1" t="e">
        <f>VLOOKUP($A102, 'Job Data'!$A$2:$P$220,15, FALSE)</f>
        <v>#N/A</v>
      </c>
      <c r="G102" s="16" t="str">
        <f t="shared" si="1"/>
        <v xml:space="preserve"> </v>
      </c>
      <c r="H102" s="1"/>
    </row>
    <row r="103" spans="3:8" ht="32.5" customHeight="1">
      <c r="C103" s="7" t="str">
        <f>IFERROR(VLOOKUP($A103, 'Job Data'!$A$2:$P$220,2, FALSE), " ")</f>
        <v xml:space="preserve"> </v>
      </c>
      <c r="D103" s="7" t="str">
        <f>IFERROR(VLOOKUP($A103,'Job Data'!$A$2:$P$220,3,FALSE)," ")</f>
        <v xml:space="preserve"> </v>
      </c>
      <c r="E103" s="7" t="str">
        <f>IFERROR(VLOOKUP($A103,'Job Data'!$A$2:$P$220,14,FALSE)," ")</f>
        <v xml:space="preserve"> </v>
      </c>
      <c r="F103" s="1" t="e">
        <f>VLOOKUP($A103, 'Job Data'!$A$2:$P$220,15, FALSE)</f>
        <v>#N/A</v>
      </c>
      <c r="G103" s="16" t="str">
        <f t="shared" si="1"/>
        <v xml:space="preserve"> </v>
      </c>
      <c r="H103" s="1"/>
    </row>
    <row r="104" spans="3:8" ht="32.5" customHeight="1">
      <c r="C104" s="7" t="str">
        <f>IFERROR(VLOOKUP($A104, 'Job Data'!$A$2:$P$220,2, FALSE), " ")</f>
        <v xml:space="preserve"> </v>
      </c>
      <c r="D104" s="7" t="str">
        <f>IFERROR(VLOOKUP($A104,'Job Data'!$A$2:$P$220,3,FALSE)," ")</f>
        <v xml:space="preserve"> </v>
      </c>
      <c r="E104" s="7" t="str">
        <f>IFERROR(VLOOKUP($A104,'Job Data'!$A$2:$P$220,14,FALSE)," ")</f>
        <v xml:space="preserve"> </v>
      </c>
      <c r="F104" s="1" t="e">
        <f>VLOOKUP($A104, 'Job Data'!$A$2:$P$220,15, FALSE)</f>
        <v>#N/A</v>
      </c>
      <c r="G104" s="16" t="str">
        <f t="shared" si="1"/>
        <v xml:space="preserve"> </v>
      </c>
      <c r="H104" s="1"/>
    </row>
    <row r="105" spans="3:8" ht="32.5" customHeight="1">
      <c r="C105" s="7" t="str">
        <f>IFERROR(VLOOKUP($A105, 'Job Data'!$A$2:$P$220,2, FALSE), " ")</f>
        <v xml:space="preserve"> </v>
      </c>
      <c r="D105" s="7" t="str">
        <f>IFERROR(VLOOKUP($A105,'Job Data'!$A$2:$P$220,3,FALSE)," ")</f>
        <v xml:space="preserve"> </v>
      </c>
      <c r="E105" s="7" t="str">
        <f>IFERROR(VLOOKUP($A105,'Job Data'!$A$2:$P$220,14,FALSE)," ")</f>
        <v xml:space="preserve"> </v>
      </c>
      <c r="F105" s="1" t="e">
        <f>VLOOKUP($A105, 'Job Data'!$A$2:$P$220,15, FALSE)</f>
        <v>#N/A</v>
      </c>
      <c r="G105" s="16" t="str">
        <f t="shared" si="1"/>
        <v xml:space="preserve"> </v>
      </c>
      <c r="H105" s="1"/>
    </row>
    <row r="106" spans="3:8" ht="32.5" customHeight="1">
      <c r="C106" s="7" t="str">
        <f>IFERROR(VLOOKUP($A106, 'Job Data'!$A$2:$P$220,2, FALSE), " ")</f>
        <v xml:space="preserve"> </v>
      </c>
      <c r="D106" s="7" t="str">
        <f>IFERROR(VLOOKUP($A106,'Job Data'!$A$2:$P$220,3,FALSE)," ")</f>
        <v xml:space="preserve"> </v>
      </c>
      <c r="E106" s="7" t="str">
        <f>IFERROR(VLOOKUP($A106,'Job Data'!$A$2:$P$220,14,FALSE)," ")</f>
        <v xml:space="preserve"> </v>
      </c>
      <c r="F106" s="1" t="e">
        <f>VLOOKUP($A106, 'Job Data'!$A$2:$P$220,15, FALSE)</f>
        <v>#N/A</v>
      </c>
      <c r="G106" s="16" t="str">
        <f t="shared" si="1"/>
        <v xml:space="preserve"> </v>
      </c>
      <c r="H106" s="1"/>
    </row>
    <row r="107" spans="3:8" ht="32.5" customHeight="1">
      <c r="C107" s="7" t="str">
        <f>IFERROR(VLOOKUP($A107, 'Job Data'!$A$2:$P$220,2, FALSE), " ")</f>
        <v xml:space="preserve"> </v>
      </c>
      <c r="D107" s="7" t="str">
        <f>IFERROR(VLOOKUP($A107,'Job Data'!$A$2:$P$220,3,FALSE)," ")</f>
        <v xml:space="preserve"> </v>
      </c>
      <c r="E107" s="7" t="str">
        <f>IFERROR(VLOOKUP($A107,'Job Data'!$A$2:$P$220,14,FALSE)," ")</f>
        <v xml:space="preserve"> </v>
      </c>
      <c r="F107" s="1" t="e">
        <f>VLOOKUP($A107, 'Job Data'!$A$2:$P$220,15, FALSE)</f>
        <v>#N/A</v>
      </c>
      <c r="G107" s="16" t="str">
        <f t="shared" si="1"/>
        <v xml:space="preserve"> </v>
      </c>
      <c r="H107" s="1"/>
    </row>
    <row r="108" spans="3:8" ht="32.5" customHeight="1">
      <c r="C108" s="7" t="str">
        <f>IFERROR(VLOOKUP($A108, 'Job Data'!$A$2:$P$220,2, FALSE), " ")</f>
        <v xml:space="preserve"> </v>
      </c>
      <c r="D108" s="7" t="str">
        <f>IFERROR(VLOOKUP($A108,'Job Data'!$A$2:$P$220,3,FALSE)," ")</f>
        <v xml:space="preserve"> </v>
      </c>
      <c r="E108" s="7" t="str">
        <f>IFERROR(VLOOKUP($A108,'Job Data'!$A$2:$P$220,14,FALSE)," ")</f>
        <v xml:space="preserve"> </v>
      </c>
      <c r="F108" s="1" t="e">
        <f>VLOOKUP($A108, 'Job Data'!$A$2:$P$220,15, FALSE)</f>
        <v>#N/A</v>
      </c>
      <c r="G108" s="16" t="str">
        <f t="shared" si="1"/>
        <v xml:space="preserve"> </v>
      </c>
      <c r="H108" s="1"/>
    </row>
    <row r="109" spans="3:8" ht="32.5" customHeight="1">
      <c r="C109" s="7" t="str">
        <f>IFERROR(VLOOKUP($A109, 'Job Data'!$A$2:$P$220,2, FALSE), " ")</f>
        <v xml:space="preserve"> </v>
      </c>
      <c r="D109" s="7" t="str">
        <f>IFERROR(VLOOKUP($A109,'Job Data'!$A$2:$P$220,3,FALSE)," ")</f>
        <v xml:space="preserve"> </v>
      </c>
      <c r="E109" s="7" t="str">
        <f>IFERROR(VLOOKUP($A109,'Job Data'!$A$2:$P$220,14,FALSE)," ")</f>
        <v xml:space="preserve"> </v>
      </c>
      <c r="F109" s="1" t="e">
        <f>VLOOKUP($A109, 'Job Data'!$A$2:$P$220,15, FALSE)</f>
        <v>#N/A</v>
      </c>
      <c r="G109" s="16" t="str">
        <f t="shared" si="1"/>
        <v xml:space="preserve"> </v>
      </c>
      <c r="H109" s="1"/>
    </row>
    <row r="110" spans="3:8" ht="32.5" customHeight="1">
      <c r="C110" s="7" t="str">
        <f>IFERROR(VLOOKUP($A110, 'Job Data'!$A$2:$P$220,2, FALSE), " ")</f>
        <v xml:space="preserve"> </v>
      </c>
      <c r="D110" s="7" t="str">
        <f>IFERROR(VLOOKUP($A110,'Job Data'!$A$2:$P$220,3,FALSE)," ")</f>
        <v xml:space="preserve"> </v>
      </c>
      <c r="E110" s="7" t="str">
        <f>IFERROR(VLOOKUP($A110,'Job Data'!$A$2:$P$220,14,FALSE)," ")</f>
        <v xml:space="preserve"> </v>
      </c>
      <c r="F110" s="1" t="e">
        <f>VLOOKUP($A110, 'Job Data'!$A$2:$P$220,15, FALSE)</f>
        <v>#N/A</v>
      </c>
      <c r="G110" s="16" t="str">
        <f t="shared" si="1"/>
        <v xml:space="preserve"> </v>
      </c>
      <c r="H110" s="1"/>
    </row>
    <row r="111" spans="3:8" ht="32.5" customHeight="1">
      <c r="C111" s="7" t="str">
        <f>IFERROR(VLOOKUP($A111, 'Job Data'!$A$2:$P$220,2, FALSE), " ")</f>
        <v xml:space="preserve"> </v>
      </c>
      <c r="D111" s="7" t="str">
        <f>IFERROR(VLOOKUP($A111,'Job Data'!$A$2:$P$220,3,FALSE)," ")</f>
        <v xml:space="preserve"> </v>
      </c>
      <c r="E111" s="7" t="str">
        <f>IFERROR(VLOOKUP($A111,'Job Data'!$A$2:$P$220,14,FALSE)," ")</f>
        <v xml:space="preserve"> </v>
      </c>
      <c r="F111" s="1" t="e">
        <f>VLOOKUP($A111, 'Job Data'!$A$2:$P$220,15, FALSE)</f>
        <v>#N/A</v>
      </c>
      <c r="G111" s="16" t="str">
        <f t="shared" si="1"/>
        <v xml:space="preserve"> </v>
      </c>
      <c r="H111" s="1"/>
    </row>
    <row r="112" spans="3:8" ht="32.5" customHeight="1">
      <c r="C112" s="7" t="str">
        <f>IFERROR(VLOOKUP($A112, 'Job Data'!$A$2:$P$220,2, FALSE), " ")</f>
        <v xml:space="preserve"> </v>
      </c>
      <c r="D112" s="7" t="str">
        <f>IFERROR(VLOOKUP($A112,'Job Data'!$A$2:$P$220,3,FALSE)," ")</f>
        <v xml:space="preserve"> </v>
      </c>
      <c r="E112" s="7" t="str">
        <f>IFERROR(VLOOKUP($A112,'Job Data'!$A$2:$P$220,14,FALSE)," ")</f>
        <v xml:space="preserve"> </v>
      </c>
      <c r="F112" s="1" t="e">
        <f>VLOOKUP($A112, 'Job Data'!$A$2:$P$220,15, FALSE)</f>
        <v>#N/A</v>
      </c>
      <c r="G112" s="16" t="str">
        <f t="shared" si="1"/>
        <v xml:space="preserve"> </v>
      </c>
      <c r="H112" s="1"/>
    </row>
    <row r="113" spans="3:8" ht="32.5" customHeight="1">
      <c r="C113" s="7" t="str">
        <f>IFERROR(VLOOKUP($A113, 'Job Data'!$A$2:$P$220,2, FALSE), " ")</f>
        <v xml:space="preserve"> </v>
      </c>
      <c r="D113" s="7" t="str">
        <f>IFERROR(VLOOKUP($A113,'Job Data'!$A$2:$P$220,3,FALSE)," ")</f>
        <v xml:space="preserve"> </v>
      </c>
      <c r="E113" s="7" t="str">
        <f>IFERROR(VLOOKUP($A113,'Job Data'!$A$2:$P$220,14,FALSE)," ")</f>
        <v xml:space="preserve"> </v>
      </c>
      <c r="F113" s="1" t="e">
        <f>VLOOKUP($A113, 'Job Data'!$A$2:$P$220,15, FALSE)</f>
        <v>#N/A</v>
      </c>
      <c r="G113" s="16" t="str">
        <f t="shared" si="1"/>
        <v xml:space="preserve"> </v>
      </c>
      <c r="H113" s="1"/>
    </row>
    <row r="114" spans="3:8" ht="32.5" customHeight="1">
      <c r="C114" s="7" t="str">
        <f>IFERROR(VLOOKUP($A114, 'Job Data'!$A$2:$P$220,2, FALSE), " ")</f>
        <v xml:space="preserve"> </v>
      </c>
      <c r="D114" s="7" t="str">
        <f>IFERROR(VLOOKUP($A114,'Job Data'!$A$2:$P$220,3,FALSE)," ")</f>
        <v xml:space="preserve"> </v>
      </c>
      <c r="E114" s="7" t="str">
        <f>IFERROR(VLOOKUP($A114,'Job Data'!$A$2:$P$220,14,FALSE)," ")</f>
        <v xml:space="preserve"> </v>
      </c>
      <c r="F114" s="1" t="e">
        <f>VLOOKUP($A114, 'Job Data'!$A$2:$P$220,15, FALSE)</f>
        <v>#N/A</v>
      </c>
      <c r="G114" s="16" t="str">
        <f t="shared" si="1"/>
        <v xml:space="preserve"> </v>
      </c>
      <c r="H114" s="1"/>
    </row>
    <row r="115" spans="3:8" ht="32.5" customHeight="1">
      <c r="C115" s="7" t="str">
        <f>IFERROR(VLOOKUP($A115, 'Job Data'!$A$2:$P$220,2, FALSE), " ")</f>
        <v xml:space="preserve"> </v>
      </c>
      <c r="D115" s="7" t="str">
        <f>IFERROR(VLOOKUP($A115,'Job Data'!$A$2:$P$220,3,FALSE)," ")</f>
        <v xml:space="preserve"> </v>
      </c>
      <c r="E115" s="7" t="str">
        <f>IFERROR(VLOOKUP($A115,'Job Data'!$A$2:$P$220,14,FALSE)," ")</f>
        <v xml:space="preserve"> </v>
      </c>
      <c r="F115" s="1" t="e">
        <f>VLOOKUP($A115, 'Job Data'!$A$2:$P$220,15, FALSE)</f>
        <v>#N/A</v>
      </c>
      <c r="G115" s="16" t="str">
        <f t="shared" si="1"/>
        <v xml:space="preserve"> </v>
      </c>
      <c r="H115" s="1"/>
    </row>
    <row r="116" spans="3:8" ht="32.5" customHeight="1">
      <c r="C116" s="7" t="str">
        <f>IFERROR(VLOOKUP($A116, 'Job Data'!$A$2:$P$220,2, FALSE), " ")</f>
        <v xml:space="preserve"> </v>
      </c>
      <c r="D116" s="7" t="str">
        <f>IFERROR(VLOOKUP($A116,'Job Data'!$A$2:$P$220,3,FALSE)," ")</f>
        <v xml:space="preserve"> </v>
      </c>
      <c r="E116" s="7" t="str">
        <f>IFERROR(VLOOKUP($A116,'Job Data'!$A$2:$P$220,14,FALSE)," ")</f>
        <v xml:space="preserve"> </v>
      </c>
      <c r="F116" s="1" t="e">
        <f>VLOOKUP($A116, 'Job Data'!$A$2:$P$220,15, FALSE)</f>
        <v>#N/A</v>
      </c>
      <c r="G116" s="16" t="str">
        <f t="shared" si="1"/>
        <v xml:space="preserve"> </v>
      </c>
      <c r="H116" s="1"/>
    </row>
    <row r="117" spans="3:8" ht="32.5" customHeight="1">
      <c r="C117" s="7" t="str">
        <f>IFERROR(VLOOKUP($A117, 'Job Data'!$A$2:$P$220,2, FALSE), " ")</f>
        <v xml:space="preserve"> </v>
      </c>
      <c r="D117" s="7" t="str">
        <f>IFERROR(VLOOKUP($A117,'Job Data'!$A$2:$P$220,3,FALSE)," ")</f>
        <v xml:space="preserve"> </v>
      </c>
      <c r="E117" s="7" t="str">
        <f>IFERROR(VLOOKUP($A117,'Job Data'!$A$2:$P$220,14,FALSE)," ")</f>
        <v xml:space="preserve"> </v>
      </c>
      <c r="F117" s="1" t="e">
        <f>VLOOKUP($A117, 'Job Data'!$A$2:$P$220,15, FALSE)</f>
        <v>#N/A</v>
      </c>
      <c r="G117" s="16" t="str">
        <f t="shared" si="1"/>
        <v xml:space="preserve"> </v>
      </c>
      <c r="H117" s="1"/>
    </row>
    <row r="118" spans="3:8" ht="32.5" customHeight="1">
      <c r="C118" s="7" t="str">
        <f>IFERROR(VLOOKUP($A118, 'Job Data'!$A$2:$P$220,2, FALSE), " ")</f>
        <v xml:space="preserve"> </v>
      </c>
      <c r="D118" s="7" t="str">
        <f>IFERROR(VLOOKUP($A118,'Job Data'!$A$2:$P$220,3,FALSE)," ")</f>
        <v xml:space="preserve"> </v>
      </c>
      <c r="E118" s="7" t="str">
        <f>IFERROR(VLOOKUP($A118,'Job Data'!$A$2:$P$220,14,FALSE)," ")</f>
        <v xml:space="preserve"> </v>
      </c>
      <c r="F118" s="1" t="e">
        <f>VLOOKUP($A118, 'Job Data'!$A$2:$P$220,15, FALSE)</f>
        <v>#N/A</v>
      </c>
      <c r="G118" s="16" t="str">
        <f t="shared" si="1"/>
        <v xml:space="preserve"> </v>
      </c>
      <c r="H118" s="1"/>
    </row>
    <row r="119" spans="3:8" ht="32.5" customHeight="1">
      <c r="C119" s="7" t="str">
        <f>IFERROR(VLOOKUP($A119, 'Job Data'!$A$2:$P$220,2, FALSE), " ")</f>
        <v xml:space="preserve"> </v>
      </c>
      <c r="D119" s="7" t="str">
        <f>IFERROR(VLOOKUP($A119,'Job Data'!$A$2:$P$220,3,FALSE)," ")</f>
        <v xml:space="preserve"> </v>
      </c>
      <c r="E119" s="7" t="str">
        <f>IFERROR(VLOOKUP($A119,'Job Data'!$A$2:$P$220,14,FALSE)," ")</f>
        <v xml:space="preserve"> </v>
      </c>
      <c r="F119" s="1" t="e">
        <f>VLOOKUP($A119, 'Job Data'!$A$2:$P$220,15, FALSE)</f>
        <v>#N/A</v>
      </c>
      <c r="G119" s="16" t="str">
        <f t="shared" si="1"/>
        <v xml:space="preserve"> </v>
      </c>
      <c r="H119" s="1"/>
    </row>
    <row r="120" spans="3:8" ht="32.5" customHeight="1">
      <c r="C120" s="7" t="str">
        <f>IFERROR(VLOOKUP($A120, 'Job Data'!$A$2:$P$220,2, FALSE), " ")</f>
        <v xml:space="preserve"> </v>
      </c>
      <c r="D120" s="7" t="str">
        <f>IFERROR(VLOOKUP($A120,'Job Data'!$A$2:$P$220,3,FALSE)," ")</f>
        <v xml:space="preserve"> </v>
      </c>
      <c r="E120" s="7" t="str">
        <f>IFERROR(VLOOKUP($A120,'Job Data'!$A$2:$P$220,14,FALSE)," ")</f>
        <v xml:space="preserve"> </v>
      </c>
      <c r="F120" s="1" t="e">
        <f>VLOOKUP($A120, 'Job Data'!$A$2:$P$220,15, FALSE)</f>
        <v>#N/A</v>
      </c>
      <c r="G120" s="16" t="str">
        <f t="shared" si="1"/>
        <v xml:space="preserve"> </v>
      </c>
      <c r="H120" s="1"/>
    </row>
    <row r="121" spans="3:8" ht="32.5" customHeight="1">
      <c r="C121" s="7" t="str">
        <f>IFERROR(VLOOKUP($A121, 'Job Data'!$A$2:$P$220,2, FALSE), " ")</f>
        <v xml:space="preserve"> </v>
      </c>
      <c r="D121" s="7" t="str">
        <f>IFERROR(VLOOKUP($A121,'Job Data'!$A$2:$P$220,3,FALSE)," ")</f>
        <v xml:space="preserve"> </v>
      </c>
      <c r="E121" s="7" t="str">
        <f>IFERROR(VLOOKUP($A121,'Job Data'!$A$2:$P$220,14,FALSE)," ")</f>
        <v xml:space="preserve"> </v>
      </c>
      <c r="F121" s="1" t="e">
        <f>VLOOKUP($A121, 'Job Data'!$A$2:$P$220,15, FALSE)</f>
        <v>#N/A</v>
      </c>
      <c r="G121" s="16" t="str">
        <f t="shared" si="1"/>
        <v xml:space="preserve"> </v>
      </c>
      <c r="H121" s="1"/>
    </row>
    <row r="122" spans="3:8" ht="32.5" customHeight="1">
      <c r="C122" s="7" t="str">
        <f>IFERROR(VLOOKUP($A122, 'Job Data'!$A$2:$P$220,2, FALSE), " ")</f>
        <v xml:space="preserve"> </v>
      </c>
      <c r="D122" s="7" t="str">
        <f>IFERROR(VLOOKUP($A122,'Job Data'!$A$2:$P$220,3,FALSE)," ")</f>
        <v xml:space="preserve"> </v>
      </c>
      <c r="E122" s="7" t="str">
        <f>IFERROR(VLOOKUP($A122,'Job Data'!$A$2:$P$220,14,FALSE)," ")</f>
        <v xml:space="preserve"> </v>
      </c>
      <c r="F122" s="1" t="e">
        <f>VLOOKUP($A122, 'Job Data'!$A$2:$P$220,15, FALSE)</f>
        <v>#N/A</v>
      </c>
      <c r="G122" s="16" t="str">
        <f t="shared" si="1"/>
        <v xml:space="preserve"> </v>
      </c>
      <c r="H122" s="1"/>
    </row>
    <row r="123" spans="3:8" ht="32.5" customHeight="1">
      <c r="C123" s="7" t="str">
        <f>IFERROR(VLOOKUP($A123, 'Job Data'!$A$2:$P$220,2, FALSE), " ")</f>
        <v xml:space="preserve"> </v>
      </c>
      <c r="D123" s="7" t="str">
        <f>IFERROR(VLOOKUP($A123,'Job Data'!$A$2:$P$220,3,FALSE)," ")</f>
        <v xml:space="preserve"> </v>
      </c>
      <c r="E123" s="7" t="str">
        <f>IFERROR(VLOOKUP($A123,'Job Data'!$A$2:$P$220,14,FALSE)," ")</f>
        <v xml:space="preserve"> </v>
      </c>
      <c r="F123" s="1" t="e">
        <f>VLOOKUP($A123, 'Job Data'!$A$2:$P$220,15, FALSE)</f>
        <v>#N/A</v>
      </c>
      <c r="G123" s="16" t="str">
        <f t="shared" si="1"/>
        <v xml:space="preserve"> </v>
      </c>
      <c r="H123" s="1"/>
    </row>
    <row r="124" spans="3:8" ht="32.5" customHeight="1">
      <c r="C124" s="7" t="str">
        <f>IFERROR(VLOOKUP($A124, 'Job Data'!$A$2:$P$220,2, FALSE), " ")</f>
        <v xml:space="preserve"> </v>
      </c>
      <c r="D124" s="7" t="str">
        <f>IFERROR(VLOOKUP($A124,'Job Data'!$A$2:$P$220,3,FALSE)," ")</f>
        <v xml:space="preserve"> </v>
      </c>
      <c r="E124" s="7" t="str">
        <f>IFERROR(VLOOKUP($A124,'Job Data'!$A$2:$P$220,14,FALSE)," ")</f>
        <v xml:space="preserve"> </v>
      </c>
      <c r="F124" s="1" t="e">
        <f>VLOOKUP($A124, 'Job Data'!$A$2:$P$220,15, FALSE)</f>
        <v>#N/A</v>
      </c>
      <c r="G124" s="16" t="str">
        <f t="shared" si="1"/>
        <v xml:space="preserve"> </v>
      </c>
      <c r="H124" s="1"/>
    </row>
    <row r="125" spans="3:8" ht="32.5" customHeight="1">
      <c r="C125" s="7" t="str">
        <f>IFERROR(VLOOKUP($A125, 'Job Data'!$A$2:$P$220,2, FALSE), " ")</f>
        <v xml:space="preserve"> </v>
      </c>
      <c r="D125" s="7" t="str">
        <f>IFERROR(VLOOKUP($A125,'Job Data'!$A$2:$P$220,3,FALSE)," ")</f>
        <v xml:space="preserve"> </v>
      </c>
      <c r="E125" s="7" t="str">
        <f>IFERROR(VLOOKUP($A125,'Job Data'!$A$2:$P$220,14,FALSE)," ")</f>
        <v xml:space="preserve"> </v>
      </c>
      <c r="F125" s="1"/>
      <c r="G125" s="16" t="str">
        <f t="shared" si="1"/>
        <v>Open Project Folder</v>
      </c>
      <c r="H125" s="1"/>
    </row>
    <row r="126" spans="3:8">
      <c r="C126" s="7" t="str">
        <f>IFERROR(VLOOKUP($A126, 'Job Data'!$A$2:$P$220,2, FALSE), " ")</f>
        <v xml:space="preserve"> </v>
      </c>
      <c r="D126" s="7" t="str">
        <f>IFERROR(VLOOKUP($A126,'Job Data'!$A$2:$P$220,3,FALSE)," ")</f>
        <v xml:space="preserve"> </v>
      </c>
      <c r="E126" s="7" t="str">
        <f>IFERROR(VLOOKUP($A126,'Job Data'!$A$2:$P$220,14,FALSE)," ")</f>
        <v xml:space="preserve"> </v>
      </c>
      <c r="F126" s="1"/>
      <c r="G126" s="16" t="str">
        <f t="shared" si="1"/>
        <v>Open Project Folder</v>
      </c>
      <c r="H126" s="1"/>
    </row>
    <row r="127" spans="3:8">
      <c r="C127" s="7" t="str">
        <f>IFERROR(VLOOKUP($A127, 'Job Data'!$A$2:$P$220,2, FALSE), " ")</f>
        <v xml:space="preserve"> </v>
      </c>
      <c r="D127" s="7" t="str">
        <f>IFERROR(VLOOKUP($A127,'Job Data'!$A$2:$P$220,3,FALSE)," ")</f>
        <v xml:space="preserve"> </v>
      </c>
      <c r="E127" s="7" t="str">
        <f>IFERROR(VLOOKUP($A127,'Job Data'!$A$2:$P$220,14,FALSE)," ")</f>
        <v xml:space="preserve"> </v>
      </c>
      <c r="F127" s="1"/>
      <c r="G127" s="16" t="str">
        <f t="shared" si="1"/>
        <v>Open Project Folder</v>
      </c>
      <c r="H127" s="1"/>
    </row>
    <row r="128" spans="3:8">
      <c r="C128" s="7" t="str">
        <f>IFERROR(VLOOKUP($A128, 'Job Data'!$A$2:$P$220,2, FALSE), " ")</f>
        <v xml:space="preserve"> </v>
      </c>
      <c r="D128" s="7" t="str">
        <f>IFERROR(VLOOKUP($A128,'Job Data'!$A$2:$P$220,3,FALSE)," ")</f>
        <v xml:space="preserve"> </v>
      </c>
      <c r="E128" s="7" t="str">
        <f>IFERROR(VLOOKUP($A128,'Job Data'!$A$2:$P$220,14,FALSE)," ")</f>
        <v xml:space="preserve"> </v>
      </c>
      <c r="F128" s="1"/>
      <c r="G128" s="16" t="str">
        <f t="shared" si="1"/>
        <v>Open Project Folder</v>
      </c>
      <c r="H128" s="1"/>
    </row>
    <row r="129" spans="3:8">
      <c r="C129" s="7" t="str">
        <f>IFERROR(VLOOKUP($A129, 'Job Data'!$A$2:$P$220,2, FALSE), " ")</f>
        <v xml:space="preserve"> </v>
      </c>
      <c r="D129" s="7" t="str">
        <f>IFERROR(VLOOKUP($A129,'Job Data'!$A$2:$P$220,3,FALSE)," ")</f>
        <v xml:space="preserve"> </v>
      </c>
      <c r="E129" s="7" t="str">
        <f>IFERROR(VLOOKUP($A129,'Job Data'!$A$2:$P$220,14,FALSE)," ")</f>
        <v xml:space="preserve"> </v>
      </c>
      <c r="F129" s="1"/>
      <c r="G129" s="16" t="str">
        <f>IFERROR(HYPERLINK(SUBSTITUTE(SUBSTITUTE(F129,"C:\Users\wubia\OneDrive - Longi Magnet Australia Pty ltd\Documents - Longi Australia","C:\Users\weiju\Longi Magnet Australia Pty ltd\Longi Australia - Documents"),"\\","\\"),"Open Project Folder")," ")</f>
        <v>Open Project Folder</v>
      </c>
      <c r="H129" s="1"/>
    </row>
    <row r="130" spans="3:8">
      <c r="C130" s="1"/>
      <c r="D130" s="1"/>
      <c r="E130" s="1"/>
      <c r="F130" s="1"/>
      <c r="G130" s="1"/>
      <c r="H130" s="1"/>
    </row>
    <row r="131" spans="3:8">
      <c r="C131" s="1"/>
      <c r="D131" s="1"/>
      <c r="E131" s="1"/>
      <c r="F131" s="1"/>
      <c r="G131" s="1"/>
      <c r="H131" s="1"/>
    </row>
    <row r="132" spans="3:8">
      <c r="C132" s="1"/>
      <c r="D132" s="1"/>
      <c r="E132" s="1"/>
      <c r="F132" s="1"/>
      <c r="G132" s="1"/>
      <c r="H132" s="1"/>
    </row>
    <row r="133" spans="3:8">
      <c r="C133" s="1"/>
      <c r="D133" s="1"/>
      <c r="E133" s="1"/>
      <c r="F133" s="1"/>
      <c r="G133" s="1"/>
      <c r="H133" s="1"/>
    </row>
  </sheetData>
  <phoneticPr fontId="10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0A86-8DFB-451C-A816-68139E25B9EF}">
  <sheetPr codeName="Sheet4"/>
  <dimension ref="A1:H133"/>
  <sheetViews>
    <sheetView topLeftCell="A3" zoomScale="80" zoomScaleNormal="80" workbookViewId="0">
      <selection activeCell="G7" sqref="G7"/>
    </sheetView>
  </sheetViews>
  <sheetFormatPr defaultRowHeight="14.5"/>
  <cols>
    <col min="1" max="1" width="19.453125" bestFit="1" customWidth="1"/>
    <col min="2" max="2" width="18.453125" bestFit="1" customWidth="1"/>
    <col min="3" max="3" width="26.453125" customWidth="1"/>
    <col min="4" max="4" width="37.453125" customWidth="1"/>
    <col min="5" max="5" width="50.453125" customWidth="1"/>
    <col min="6" max="6" width="37.1796875" hidden="1" customWidth="1"/>
    <col min="7" max="7" width="83" customWidth="1"/>
    <col min="8" max="8" width="19.453125" bestFit="1" customWidth="1"/>
    <col min="9" max="9" width="18.453125" bestFit="1" customWidth="1"/>
    <col min="10" max="10" width="37.1796875" bestFit="1" customWidth="1"/>
    <col min="11" max="11" width="13.453125" bestFit="1" customWidth="1"/>
    <col min="12" max="12" width="21" bestFit="1" customWidth="1"/>
    <col min="13" max="13" width="20.1796875" bestFit="1" customWidth="1"/>
    <col min="14" max="14" width="12" bestFit="1" customWidth="1"/>
    <col min="15" max="15" width="21.1796875" bestFit="1" customWidth="1"/>
    <col min="16" max="16" width="7.81640625" bestFit="1" customWidth="1"/>
    <col min="17" max="17" width="11.453125" bestFit="1" customWidth="1"/>
    <col min="18" max="18" width="29.453125" bestFit="1" customWidth="1"/>
    <col min="19" max="19" width="27.81640625" bestFit="1" customWidth="1"/>
    <col min="20" max="20" width="31.453125" bestFit="1" customWidth="1"/>
    <col min="21" max="21" width="14.453125" bestFit="1" customWidth="1"/>
    <col min="22" max="22" width="21.1796875" bestFit="1" customWidth="1"/>
    <col min="23" max="23" width="14.453125" bestFit="1" customWidth="1"/>
    <col min="24" max="24" width="10.453125" bestFit="1" customWidth="1"/>
    <col min="25" max="25" width="9.453125" bestFit="1" customWidth="1"/>
    <col min="26" max="26" width="7.1796875" bestFit="1" customWidth="1"/>
    <col min="27" max="27" width="6.453125" bestFit="1" customWidth="1"/>
    <col min="28" max="28" width="4.1796875" bestFit="1" customWidth="1"/>
    <col min="29" max="29" width="11.453125" bestFit="1" customWidth="1"/>
    <col min="30" max="30" width="17.453125" bestFit="1" customWidth="1"/>
    <col min="31" max="31" width="5" bestFit="1" customWidth="1"/>
    <col min="32" max="32" width="7.1796875" bestFit="1" customWidth="1"/>
    <col min="33" max="33" width="8.1796875" bestFit="1" customWidth="1"/>
    <col min="34" max="35" width="9.453125" bestFit="1" customWidth="1"/>
    <col min="36" max="36" width="7.1796875" bestFit="1" customWidth="1"/>
    <col min="37" max="37" width="6.453125" bestFit="1" customWidth="1"/>
    <col min="38" max="38" width="4.1796875" bestFit="1" customWidth="1"/>
    <col min="39" max="39" width="11.453125" bestFit="1" customWidth="1"/>
    <col min="40" max="40" width="15.81640625" bestFit="1" customWidth="1"/>
    <col min="41" max="41" width="5" bestFit="1" customWidth="1"/>
    <col min="42" max="42" width="7.1796875" bestFit="1" customWidth="1"/>
    <col min="43" max="43" width="8.1796875" bestFit="1" customWidth="1"/>
    <col min="44" max="45" width="9.453125" bestFit="1" customWidth="1"/>
    <col min="46" max="46" width="7.1796875" bestFit="1" customWidth="1"/>
    <col min="47" max="47" width="6.453125" bestFit="1" customWidth="1"/>
    <col min="48" max="48" width="4.1796875" bestFit="1" customWidth="1"/>
    <col min="49" max="49" width="11.453125" bestFit="1" customWidth="1"/>
    <col min="50" max="50" width="15.81640625" bestFit="1" customWidth="1"/>
    <col min="51" max="51" width="5" bestFit="1" customWidth="1"/>
    <col min="52" max="52" width="7.1796875" bestFit="1" customWidth="1"/>
    <col min="53" max="53" width="8.1796875" bestFit="1" customWidth="1"/>
    <col min="54" max="55" width="9.453125" bestFit="1" customWidth="1"/>
    <col min="56" max="56" width="7.1796875" bestFit="1" customWidth="1"/>
    <col min="57" max="57" width="6.453125" bestFit="1" customWidth="1"/>
    <col min="58" max="58" width="4.1796875" bestFit="1" customWidth="1"/>
    <col min="59" max="59" width="11.453125" bestFit="1" customWidth="1"/>
    <col min="60" max="60" width="40.81640625" bestFit="1" customWidth="1"/>
    <col min="61" max="61" width="43.453125" bestFit="1" customWidth="1"/>
    <col min="62" max="62" width="18.453125" bestFit="1" customWidth="1"/>
    <col min="63" max="63" width="22.1796875" bestFit="1" customWidth="1"/>
    <col min="64" max="64" width="19.453125" bestFit="1" customWidth="1"/>
    <col min="65" max="65" width="20.453125" bestFit="1" customWidth="1"/>
    <col min="66" max="124" width="38.81640625" bestFit="1" customWidth="1"/>
    <col min="125" max="125" width="40.81640625" bestFit="1" customWidth="1"/>
    <col min="126" max="126" width="43.453125" bestFit="1" customWidth="1"/>
    <col min="127" max="127" width="18.453125" bestFit="1" customWidth="1"/>
    <col min="128" max="128" width="22.1796875" bestFit="1" customWidth="1"/>
    <col min="129" max="129" width="19.453125" bestFit="1" customWidth="1"/>
    <col min="130" max="130" width="20.453125" bestFit="1" customWidth="1"/>
    <col min="131" max="256" width="38.81640625" bestFit="1" customWidth="1"/>
    <col min="257" max="257" width="40.81640625" bestFit="1" customWidth="1"/>
    <col min="258" max="258" width="43.453125" bestFit="1" customWidth="1"/>
    <col min="259" max="259" width="18.453125" bestFit="1" customWidth="1"/>
    <col min="260" max="260" width="22.1796875" bestFit="1" customWidth="1"/>
    <col min="261" max="261" width="19.453125" bestFit="1" customWidth="1"/>
    <col min="262" max="263" width="20.453125" bestFit="1" customWidth="1"/>
  </cols>
  <sheetData>
    <row r="1" spans="1:8" ht="30" customHeight="1">
      <c r="A1" s="23" t="s">
        <v>8</v>
      </c>
      <c r="B1" s="22" t="s">
        <v>193</v>
      </c>
    </row>
    <row r="2" spans="1:8" ht="30" customHeight="1">
      <c r="A2" s="23" t="s">
        <v>5</v>
      </c>
      <c r="B2" s="22" t="s">
        <v>193</v>
      </c>
    </row>
    <row r="3" spans="1:8" ht="30" customHeight="1">
      <c r="A3" s="23" t="s">
        <v>2</v>
      </c>
      <c r="B3" s="22" t="s">
        <v>68</v>
      </c>
    </row>
    <row r="4" spans="1:8" ht="30" customHeight="1">
      <c r="A4" s="23" t="s">
        <v>3</v>
      </c>
      <c r="B4" s="22" t="s">
        <v>193</v>
      </c>
    </row>
    <row r="6" spans="1:8" ht="30.65" customHeight="1">
      <c r="A6" s="20" t="s">
        <v>194</v>
      </c>
      <c r="B6" s="21" t="s">
        <v>195</v>
      </c>
      <c r="C6" s="17" t="s">
        <v>2</v>
      </c>
      <c r="D6" s="17" t="s">
        <v>3</v>
      </c>
      <c r="E6" s="17" t="s">
        <v>14</v>
      </c>
      <c r="G6" s="15"/>
    </row>
    <row r="7" spans="1:8" ht="24.65" customHeight="1">
      <c r="A7" s="18" t="s">
        <v>219</v>
      </c>
      <c r="B7" s="18">
        <v>1</v>
      </c>
      <c r="C7" s="7" t="str">
        <f>VLOOKUP($A7, 'Job Data'!$A$2:$P$220,2, FALSE)</f>
        <v>MRL</v>
      </c>
      <c r="D7" s="7" t="str">
        <f>VLOOKUP($A7, 'Job Data'!$A$2:$P$220,3, FALSE)</f>
        <v>Wodgina</v>
      </c>
      <c r="E7" s="7" t="str">
        <f>VLOOKUP($A7, 'Job Data'!$A$2:$P$220,14, FALSE)</f>
        <v>AQ0006 Wodina Train 4</v>
      </c>
      <c r="F7" s="1" t="str">
        <f>VLOOKUP($A7, 'Job Data'!$A$2:$P$220,15, FALSE)</f>
        <v>C:\Users\wubia\OneDrive - Longi Magnet Australia Pty ltd\Documents - Longi Australia\03 Project Management\Client\MRL\Wodgina\AQ0006 Wodina Train 4</v>
      </c>
      <c r="G7" s="16" t="str">
        <f>HYPERLINK(SUBSTITUTE(SUBSTITUTE(F7, "C:\Users\wubia\OneDrive - Longi Magnet Australia Pty ltd\Documents - Longi Australia", "C:\Users\hillw\Longi Magnet Australia Pty ltd\Longi Australia - Documents"), "\\", "\\"),"Open Project Folder")</f>
        <v>Open Project Folder</v>
      </c>
      <c r="H7" s="1"/>
    </row>
    <row r="8" spans="1:8" ht="24.65" customHeight="1">
      <c r="A8" s="7" t="s">
        <v>225</v>
      </c>
      <c r="B8" s="7">
        <v>1</v>
      </c>
      <c r="C8" s="7" t="str">
        <f>VLOOKUP($A8, 'Job Data'!$A$2:$P$220,2, FALSE)</f>
        <v>MRL</v>
      </c>
      <c r="D8" s="7" t="str">
        <f>VLOOKUP($A8, 'Job Data'!$A$2:$P$220,3, FALSE)</f>
        <v>Mt Marion</v>
      </c>
      <c r="E8" s="7" t="str">
        <f>VLOOKUP($A8, 'Job Data'!$A$2:$P$220,14, FALSE)</f>
        <v>AS0001 Service</v>
      </c>
      <c r="F8" s="1" t="str">
        <f>VLOOKUP($A8, 'Job Data'!$A$2:$P$220,15, FALSE)</f>
        <v>C:\Users\wubia\OneDrive - Longi Magnet Australia Pty ltd\Documents - Longi Australia\03 Project Management\Client\MRL\Mt Marion\AS0001 Service</v>
      </c>
      <c r="G8" s="16" t="str">
        <f>HYPERLINK(SUBSTITUTE(SUBSTITUTE(F8, "C:\Users\wubia\OneDrive - Longi Magnet Australia Pty ltd\Documents - Longi Australia", "C:\Users\hillw\Longi Magnet Australia Pty ltd\Longi Australia - Documents"), "\\", "\\"),"Open Project Folder")</f>
        <v>Open Project Folder</v>
      </c>
      <c r="H8" s="1"/>
    </row>
    <row r="9" spans="1:8" ht="24.65" customHeight="1">
      <c r="A9" s="24" t="s">
        <v>266</v>
      </c>
      <c r="B9" s="24">
        <v>1</v>
      </c>
      <c r="C9" s="7" t="str">
        <f>VLOOKUP($A9, 'Job Data'!$A$2:$P$220,2, FALSE)</f>
        <v>MRL</v>
      </c>
      <c r="D9" s="7" t="str">
        <f>VLOOKUP($A9, 'Job Data'!$A$2:$P$220,3, FALSE)</f>
        <v>Mt Marion</v>
      </c>
      <c r="E9" s="7" t="str">
        <f>VLOOKUP($A9, 'Job Data'!$A$2:$P$220,14, FALSE)</f>
        <v>AQ0022 LIMS and WHIMS(Minsol)</v>
      </c>
      <c r="F9" s="1" t="str">
        <f>VLOOKUP($A9, 'Job Data'!$A$2:$P$220,15, FALSE)</f>
        <v>C:\Users\wubia\OneDrive - Longi Magnet Australia Pty ltd\Documents - Longi Australia\03 Project Management\Client\MRL\Mt Marion\AQ0022 LIMS and WHIMS(Minsol)</v>
      </c>
      <c r="G9" s="16" t="str">
        <f t="shared" ref="G9:G72" si="0">HYPERLINK(SUBSTITUTE(SUBSTITUTE(F9, "C:\Users\wubia\OneDrive - Longi Magnet Australia Pty ltd\Documents - Longi Australia", "C:\Users\hillw\Longi Magnet Australia Pty ltd\Longi Australia - Documents"), "\\", "\\"),"Open Project Folder")</f>
        <v>Open Project Folder</v>
      </c>
      <c r="H9" s="1"/>
    </row>
    <row r="10" spans="1:8" ht="24.65" customHeight="1">
      <c r="A10" s="24" t="s">
        <v>289</v>
      </c>
      <c r="B10" s="24">
        <v>1</v>
      </c>
      <c r="C10" s="7" t="str">
        <f>VLOOKUP($A10, 'Job Data'!$A$2:$P$220,2, FALSE)</f>
        <v>MRL</v>
      </c>
      <c r="D10" s="7" t="str">
        <f>VLOOKUP($A10, 'Job Data'!$A$2:$P$220,3, FALSE)</f>
        <v>Mt Marion</v>
      </c>
      <c r="E10" s="7" t="str">
        <f>VLOOKUP($A10, 'Job Data'!$A$2:$P$220,14, FALSE)</f>
        <v>AS0004 LIMS Service</v>
      </c>
      <c r="F10" s="1" t="str">
        <f>VLOOKUP($A10, 'Job Data'!$A$2:$P$220,15, FALSE)</f>
        <v>C:\Users\wubia\OneDrive - Longi Magnet Australia Pty ltd\Documents - Longi Australia\03 Project Management\Client\MRL\Mt Marion\AS0004 LIMS Service</v>
      </c>
      <c r="G10" s="16" t="str">
        <f t="shared" si="0"/>
        <v>Open Project Folder</v>
      </c>
      <c r="H10" s="1"/>
    </row>
    <row r="11" spans="1:8" ht="24.65" customHeight="1">
      <c r="A11" s="24" t="s">
        <v>290</v>
      </c>
      <c r="B11" s="24">
        <v>1</v>
      </c>
      <c r="C11" s="7" t="str">
        <f>VLOOKUP($A11, 'Job Data'!$A$2:$P$220,2, FALSE)</f>
        <v>MRL</v>
      </c>
      <c r="D11" s="7" t="str">
        <f>VLOOKUP($A11, 'Job Data'!$A$2:$P$220,3, FALSE)</f>
        <v>Wodgina</v>
      </c>
      <c r="E11" s="7" t="str">
        <f>VLOOKUP($A11, 'Job Data'!$A$2:$P$220,14, FALSE)</f>
        <v>AS0005 WHIMS Service</v>
      </c>
      <c r="F11" s="1" t="str">
        <f>VLOOKUP($A11, 'Job Data'!$A$2:$P$220,15, FALSE)</f>
        <v>C:\Users\wubia\OneDrive - Longi Magnet Australia Pty ltd\Documents - Longi Australia\03 Project Management\Client\MRL\Wodgina\AS0005 WHIMS Service</v>
      </c>
      <c r="G11" s="16" t="str">
        <f t="shared" si="0"/>
        <v>Open Project Folder</v>
      </c>
      <c r="H11" s="1"/>
    </row>
    <row r="12" spans="1:8" ht="24.65" customHeight="1">
      <c r="A12" s="24" t="s">
        <v>326</v>
      </c>
      <c r="B12" s="24">
        <v>1</v>
      </c>
      <c r="C12" s="7" t="str">
        <f>VLOOKUP($A12, 'Job Data'!$A$2:$P$220,2, FALSE)</f>
        <v>MRL</v>
      </c>
      <c r="D12" s="7" t="str">
        <f>VLOOKUP($A12, 'Job Data'!$A$2:$P$220,3, FALSE)</f>
        <v>Mt Marion</v>
      </c>
      <c r="E12" s="7" t="str">
        <f>VLOOKUP($A12, 'Job Data'!$A$2:$P$220,14, FALSE)</f>
        <v>AQ0025 Heat Exchanger Upgade</v>
      </c>
      <c r="F12" s="1" t="str">
        <f>VLOOKUP($A12, 'Job Data'!$A$2:$P$220,15, FALSE)</f>
        <v>..\Client\MRL\Mt Marion\AQ0025 Heat Exchanger Upgade</v>
      </c>
      <c r="G12" s="16" t="str">
        <f t="shared" si="0"/>
        <v>Open Project Folder</v>
      </c>
      <c r="H12" s="1"/>
    </row>
    <row r="13" spans="1:8" ht="24.65" customHeight="1">
      <c r="A13" s="24" t="s">
        <v>381</v>
      </c>
      <c r="B13" s="24">
        <v>1</v>
      </c>
      <c r="C13" s="7" t="str">
        <f>VLOOKUP($A13, 'Job Data'!$A$2:$P$220,2, FALSE)</f>
        <v>MRL</v>
      </c>
      <c r="D13" s="7" t="str">
        <f>VLOOKUP($A13, 'Job Data'!$A$2:$P$220,3, FALSE)</f>
        <v>Mt Marion</v>
      </c>
      <c r="E13" s="7" t="str">
        <f>VLOOKUP($A13, 'Job Data'!$A$2:$P$220,14, FALSE)</f>
        <v>AQ0029 WHIMS SPARES</v>
      </c>
      <c r="F13" s="1" t="str">
        <f>VLOOKUP($A13, 'Job Data'!$A$2:$P$220,15, FALSE)</f>
        <v>C:\Users\wubia\OneDrive - Longi Magnet Australia Pty ltd\Documents - Longi Australia\03 Project Management\Client\MRL\Mt Marion\AQ0029 WHIMS SPARES</v>
      </c>
      <c r="G13" s="16" t="str">
        <f t="shared" si="0"/>
        <v>Open Project Folder</v>
      </c>
      <c r="H13" s="1"/>
    </row>
    <row r="14" spans="1:8" ht="24.65" customHeight="1">
      <c r="A14" s="24" t="s">
        <v>383</v>
      </c>
      <c r="B14" s="24">
        <v>1</v>
      </c>
      <c r="C14" s="7" t="str">
        <f>VLOOKUP($A14, 'Job Data'!$A$2:$P$220,2, FALSE)</f>
        <v>MRL</v>
      </c>
      <c r="D14" s="7" t="str">
        <f>VLOOKUP($A14, 'Job Data'!$A$2:$P$220,3, FALSE)</f>
        <v>Mt Marion</v>
      </c>
      <c r="E14" s="7" t="str">
        <f>VLOOKUP($A14, 'Job Data'!$A$2:$P$220,14, FALSE)</f>
        <v>AQ0031 WHIMS SPARES</v>
      </c>
      <c r="F14" s="1" t="str">
        <f>VLOOKUP($A14, 'Job Data'!$A$2:$P$220,15, FALSE)</f>
        <v>C:\Users\wubia\OneDrive - Longi Magnet Australia Pty ltd\Documents - Longi Australia\03 Project Management\Client\MRL\Mt Marion\AQ0031 WHIMS SPARES</v>
      </c>
      <c r="G14" s="16" t="str">
        <f t="shared" si="0"/>
        <v>Open Project Folder</v>
      </c>
      <c r="H14" s="1"/>
    </row>
    <row r="15" spans="1:8" ht="24.65" customHeight="1">
      <c r="A15" s="24" t="s">
        <v>388</v>
      </c>
      <c r="B15" s="24">
        <v>1</v>
      </c>
      <c r="C15" s="7" t="str">
        <f>VLOOKUP($A15, 'Job Data'!$A$2:$P$220,2, FALSE)</f>
        <v>MRL</v>
      </c>
      <c r="D15" s="7" t="str">
        <f>VLOOKUP($A15, 'Job Data'!$A$2:$P$220,3, FALSE)</f>
        <v>Mt Marion</v>
      </c>
      <c r="E15" s="7" t="str">
        <f>VLOOKUP($A15, 'Job Data'!$A$2:$P$220,14, FALSE)</f>
        <v>AP0002 Spare Parts</v>
      </c>
      <c r="F15" s="1" t="str">
        <f>VLOOKUP($A15, 'Job Data'!$A$2:$P$220,15, FALSE)</f>
        <v>C:\Users\wubia\OneDrive - Longi Magnet Australia Pty ltd\Documents - Longi Australia\03 Project Management\Client\MRL\Mt Marion\AP0002 Spare Parts</v>
      </c>
      <c r="G15" s="16" t="str">
        <f t="shared" si="0"/>
        <v>Open Project Folder</v>
      </c>
      <c r="H15" s="1"/>
    </row>
    <row r="16" spans="1:8" ht="24.65" customHeight="1">
      <c r="A16" s="24" t="s">
        <v>384</v>
      </c>
      <c r="B16" s="24">
        <v>1</v>
      </c>
      <c r="C16" s="7" t="str">
        <f>VLOOKUP($A16, 'Job Data'!$A$2:$P$220,2, FALSE)</f>
        <v>MRL</v>
      </c>
      <c r="D16" s="7" t="str">
        <f>VLOOKUP($A16, 'Job Data'!$A$2:$P$220,3, FALSE)</f>
        <v>Wodgina</v>
      </c>
      <c r="E16" s="7" t="str">
        <f>VLOOKUP($A16, 'Job Data'!$A$2:$P$220,14, FALSE)</f>
        <v>AQ0033 WHIMS SPARES</v>
      </c>
      <c r="F16" s="1" t="str">
        <f>VLOOKUP($A16, 'Job Data'!$A$2:$P$220,15, FALSE)</f>
        <v>C:\Users\wubia\OneDrive - Longi Magnet Australia Pty ltd\Documents - Longi Australia\03 Project Management\Client\MRL\Wodgina\AQ0033 WHIMS SPARES</v>
      </c>
      <c r="G16" s="16" t="str">
        <f t="shared" si="0"/>
        <v>Open Project Folder</v>
      </c>
      <c r="H16" s="1"/>
    </row>
    <row r="17" spans="1:8" ht="24.65" customHeight="1">
      <c r="A17" s="24" t="s">
        <v>464</v>
      </c>
      <c r="B17" s="24">
        <v>1</v>
      </c>
      <c r="C17" s="7" t="str">
        <f>VLOOKUP($A17, 'Job Data'!$A$2:$P$220,2, FALSE)</f>
        <v>MRL</v>
      </c>
      <c r="D17" s="7" t="str">
        <f>VLOOKUP($A17, 'Job Data'!$A$2:$P$220,3, FALSE)</f>
        <v>Mt Marion</v>
      </c>
      <c r="E17" s="7" t="str">
        <f>VLOOKUP($A17, 'Job Data'!$A$2:$P$220,14, FALSE)</f>
        <v>AT0029 Belt Magnet Drum Testwork</v>
      </c>
      <c r="F17" s="1" t="str">
        <f>VLOOKUP($A17, 'Job Data'!$A$2:$P$220,15, FALSE)</f>
        <v>C:\Users\wubia\OneDrive - Longi Magnet Australia Pty ltd\Documents - Longi Australia\03 Project Management\Client\MRL\Mt Marion\AT0029 Belt Magnet Drum Testwork</v>
      </c>
      <c r="G17" s="16" t="str">
        <f t="shared" si="0"/>
        <v>Open Project Folder</v>
      </c>
      <c r="H17" s="1"/>
    </row>
    <row r="18" spans="1:8" ht="24.65" customHeight="1">
      <c r="A18" s="24" t="s">
        <v>473</v>
      </c>
      <c r="B18" s="24">
        <v>1</v>
      </c>
      <c r="C18" s="7" t="str">
        <f>VLOOKUP($A18, 'Job Data'!$A$2:$P$220,2, FALSE)</f>
        <v>MRL</v>
      </c>
      <c r="D18" s="7" t="str">
        <f>VLOOKUP($A18, 'Job Data'!$A$2:$P$220,3, FALSE)</f>
        <v>Wodgina</v>
      </c>
      <c r="E18" s="7" t="str">
        <f>VLOOKUP($A18, 'Job Data'!$A$2:$P$220,14, FALSE)</f>
        <v>AP0003 Spare Parts</v>
      </c>
      <c r="F18" s="1" t="str">
        <f>VLOOKUP($A18, 'Job Data'!$A$2:$P$220,15, FALSE)</f>
        <v>C:\Users\wubia\OneDrive - Longi Magnet Australia Pty ltd\Documents - Longi Australia\03 Project Management\Client\MRL\Wodgina\AP0003 Spare Parts</v>
      </c>
      <c r="G18" s="16" t="str">
        <f t="shared" si="0"/>
        <v>Open Project Folder</v>
      </c>
      <c r="H18" s="1"/>
    </row>
    <row r="19" spans="1:8" ht="24.65" customHeight="1">
      <c r="A19" s="24" t="s">
        <v>477</v>
      </c>
      <c r="B19" s="24">
        <v>1</v>
      </c>
      <c r="C19" s="7" t="str">
        <f>VLOOKUP($A19, 'Job Data'!$A$2:$P$220,2, FALSE)</f>
        <v>MRL</v>
      </c>
      <c r="D19" s="7" t="str">
        <f>VLOOKUP($A19, 'Job Data'!$A$2:$P$220,3, FALSE)</f>
        <v>Mt Marion</v>
      </c>
      <c r="E19" s="7" t="str">
        <f>VLOOKUP($A19, 'Job Data'!$A$2:$P$220,14, FALSE)</f>
        <v>AQ0051 WHIMS Protection LIMS</v>
      </c>
      <c r="F19" s="1" t="str">
        <f>VLOOKUP($A19, 'Job Data'!$A$2:$P$220,15, FALSE)</f>
        <v>C:\Users\wubia\OneDrive - Longi Magnet Australia Pty ltd\Documents - Longi Australia\03 Project Management\Client\MRL\Mt Marion\AQ0051 WHIMS Protection LIMS</v>
      </c>
      <c r="G19" s="16" t="str">
        <f t="shared" si="0"/>
        <v>Open Project Folder</v>
      </c>
      <c r="H19" s="1"/>
    </row>
    <row r="20" spans="1:8" ht="24.65" customHeight="1">
      <c r="A20" s="24" t="s">
        <v>580</v>
      </c>
      <c r="B20" s="24">
        <v>1</v>
      </c>
      <c r="C20" s="7" t="str">
        <f>VLOOKUP($A20, 'Job Data'!$A$2:$P$220,2, FALSE)</f>
        <v>MRL</v>
      </c>
      <c r="D20" s="7" t="str">
        <f>VLOOKUP($A20, 'Job Data'!$A$2:$P$220,3, FALSE)</f>
        <v>Wodgina</v>
      </c>
      <c r="E20" s="7" t="str">
        <f>VLOOKUP($A20, 'Job Data'!$A$2:$P$220,14, FALSE)</f>
        <v>AT0041 WHIMS Testwork</v>
      </c>
      <c r="F20" s="1" t="str">
        <f>VLOOKUP($A20, 'Job Data'!$A$2:$P$220,15, FALSE)</f>
        <v>C:\Users\wubia\OneDrive - Longi Magnet Australia Pty ltd\Documents - Longi Australia\03 Project Management\Client\MRL\Wodgina\AT0041 WHIMS Testwork</v>
      </c>
      <c r="G20" s="16" t="str">
        <f t="shared" si="0"/>
        <v>Open Project Folder</v>
      </c>
      <c r="H20" s="1"/>
    </row>
    <row r="21" spans="1:8" ht="24.65" customHeight="1">
      <c r="A21" s="24" t="s">
        <v>581</v>
      </c>
      <c r="B21" s="24">
        <v>1</v>
      </c>
      <c r="C21" s="7" t="str">
        <f>VLOOKUP($A21, 'Job Data'!$A$2:$P$220,2, FALSE)</f>
        <v>MRL</v>
      </c>
      <c r="D21" s="7" t="str">
        <f>VLOOKUP($A21, 'Job Data'!$A$2:$P$220,3, FALSE)</f>
        <v>Wodgina</v>
      </c>
      <c r="E21" s="7" t="str">
        <f>VLOOKUP($A21, 'Job Data'!$A$2:$P$220,14, FALSE)</f>
        <v>AQ0054 RFP - PP007 - MRL3468 MS (LIMS) - Train 4</v>
      </c>
      <c r="F21" s="1" t="str">
        <f>VLOOKUP($A21, 'Job Data'!$A$2:$P$220,15, FALSE)</f>
        <v>C:\Users\wubia\OneDrive - Longi Magnet Australia Pty ltd\Documents - Longi Australia\03 Project Management\Client\MRL\Wodgina\AQ0054 RFP - PP007 - MRL3468 MS (LIMS) - Train 4</v>
      </c>
      <c r="G21" s="16" t="str">
        <f t="shared" si="0"/>
        <v>Open Project Folder</v>
      </c>
      <c r="H21" s="1"/>
    </row>
    <row r="22" spans="1:8" ht="24.65" customHeight="1">
      <c r="A22" s="24" t="s">
        <v>582</v>
      </c>
      <c r="B22" s="24">
        <v>1</v>
      </c>
      <c r="C22" s="7" t="str">
        <f>VLOOKUP($A22, 'Job Data'!$A$2:$P$220,2, FALSE)</f>
        <v>MRL</v>
      </c>
      <c r="D22" s="7" t="str">
        <f>VLOOKUP($A22, 'Job Data'!$A$2:$P$220,3, FALSE)</f>
        <v>Wodgina</v>
      </c>
      <c r="E22" s="7" t="str">
        <f>VLOOKUP($A22, 'Job Data'!$A$2:$P$220,14, FALSE)</f>
        <v>AQ0055 RFP - PP007 - MRL3468 MS (WHIMS) - Train 4</v>
      </c>
      <c r="F22" s="1" t="str">
        <f>VLOOKUP($A22, 'Job Data'!$A$2:$P$220,15, FALSE)</f>
        <v>C:\Users\wubia\OneDrive - Longi Magnet Australia Pty ltd\Documents - Longi Australia\03 Project Management\Client\MRL\Wodgina\AQ0055 RFP - PP007 - MRL3468 MS (WHIMS) - Train 4</v>
      </c>
      <c r="G22" s="16" t="str">
        <f t="shared" si="0"/>
        <v>Open Project Folder</v>
      </c>
      <c r="H22" s="1"/>
    </row>
    <row r="23" spans="1:8" ht="24.65" customHeight="1">
      <c r="A23" s="24" t="s">
        <v>583</v>
      </c>
      <c r="B23" s="24">
        <v>1</v>
      </c>
      <c r="C23" s="7" t="str">
        <f>VLOOKUP($A23, 'Job Data'!$A$2:$P$220,2, FALSE)</f>
        <v>MRL</v>
      </c>
      <c r="D23" s="7" t="str">
        <f>VLOOKUP($A23, 'Job Data'!$A$2:$P$220,3, FALSE)</f>
        <v>Wodgina</v>
      </c>
      <c r="E23" s="7" t="str">
        <f>VLOOKUP($A23, 'Job Data'!$A$2:$P$220,14, FALSE)</f>
        <v>AQ0056 RFP - PP007 - MRL3468 MS (LIMS) - Train 4</v>
      </c>
      <c r="F23" s="1" t="str">
        <f>VLOOKUP($A23, 'Job Data'!$A$2:$P$220,15, FALSE)</f>
        <v>C:\Users\wubia\OneDrive - Longi Magnet Australia Pty ltd\Documents - Longi Australia\03 Project Management\Client\FMG\Kings\AC0022 KV Tails Scavenging Testwork</v>
      </c>
      <c r="G23" s="16" t="str">
        <f t="shared" si="0"/>
        <v>Open Project Folder</v>
      </c>
      <c r="H23" s="1"/>
    </row>
    <row r="24" spans="1:8" ht="24.65" customHeight="1">
      <c r="A24" s="24" t="s">
        <v>584</v>
      </c>
      <c r="B24" s="24">
        <v>1</v>
      </c>
      <c r="C24" s="7" t="str">
        <f>VLOOKUP($A24, 'Job Data'!$A$2:$P$220,2, FALSE)</f>
        <v>MRL</v>
      </c>
      <c r="D24" s="7" t="str">
        <f>VLOOKUP($A24, 'Job Data'!$A$2:$P$220,3, FALSE)</f>
        <v>Mt Marion</v>
      </c>
      <c r="E24" s="7" t="str">
        <f>VLOOKUP($A24, 'Job Data'!$A$2:$P$220,14, FALSE)</f>
        <v>AQ0057 Fine Flotation Study</v>
      </c>
      <c r="F24" s="1" t="str">
        <f>VLOOKUP($A24, 'Job Data'!$A$2:$P$220,15, FALSE)</f>
        <v>C:\Users\wubia\OneDrive - Longi Magnet Australia Pty ltd\Documents - Longi Australia\03 Project Management\Client\MRL\Mt Marion\AQ0057 Fine Flotation Study</v>
      </c>
      <c r="G24" s="16" t="str">
        <f t="shared" si="0"/>
        <v>Open Project Folder</v>
      </c>
      <c r="H24" s="1"/>
    </row>
    <row r="25" spans="1:8" ht="24.65" customHeight="1">
      <c r="A25" s="24" t="s">
        <v>586</v>
      </c>
      <c r="B25" s="24">
        <v>1</v>
      </c>
      <c r="C25" s="7" t="str">
        <f>VLOOKUP($A25, 'Job Data'!$A$2:$P$220,2, FALSE)</f>
        <v>MRL</v>
      </c>
      <c r="D25" s="7" t="str">
        <f>VLOOKUP($A25, 'Job Data'!$A$2:$P$220,3, FALSE)</f>
        <v>Mt Marion</v>
      </c>
      <c r="E25" s="7" t="str">
        <f>VLOOKUP($A25, 'Job Data'!$A$2:$P$220,14, FALSE)</f>
        <v>AT0045 Coarse MS Testwork</v>
      </c>
      <c r="F25" s="1" t="str">
        <f>VLOOKUP($A25, 'Job Data'!$A$2:$P$220,15, FALSE)</f>
        <v>C:\Users\wubia\OneDrive - Longi Magnet Australia Pty ltd\Documents - Longi Australia\03 Project Management\Client\MRL\Mt Marion\AT0045 Coarse MS Testwork</v>
      </c>
      <c r="G25" s="16" t="str">
        <f t="shared" si="0"/>
        <v>Open Project Folder</v>
      </c>
      <c r="H25" s="1"/>
    </row>
    <row r="26" spans="1:8" ht="24.65" customHeight="1">
      <c r="A26" s="24" t="s">
        <v>587</v>
      </c>
      <c r="B26" s="24">
        <v>1</v>
      </c>
      <c r="C26" s="7" t="str">
        <f>VLOOKUP($A26, 'Job Data'!$A$2:$P$220,2, FALSE)</f>
        <v>MRL</v>
      </c>
      <c r="D26" s="7" t="str">
        <f>VLOOKUP($A26, 'Job Data'!$A$2:$P$220,3, FALSE)</f>
        <v>Mauritania</v>
      </c>
      <c r="E26" s="7" t="str">
        <f>VLOOKUP($A26, 'Job Data'!$A$2:$P$220,14, FALSE)</f>
        <v>AQ0060 El Aouj Project in Mauritania</v>
      </c>
      <c r="F26" s="1" t="str">
        <f>VLOOKUP($A26, 'Job Data'!$A$2:$P$220,15, FALSE)</f>
        <v>C:\Users\wubia\OneDrive - Longi Magnet Australia Pty ltd\Documents - Longi Australia\03 Project Management\Client\MRL\Mauritania\AQ0060 El Aouj Project in Mauritania</v>
      </c>
      <c r="G26" s="16" t="str">
        <f t="shared" si="0"/>
        <v>Open Project Folder</v>
      </c>
      <c r="H26" s="1"/>
    </row>
    <row r="27" spans="1:8" ht="24.65" customHeight="1">
      <c r="A27" s="24" t="s">
        <v>588</v>
      </c>
      <c r="B27" s="24">
        <v>1</v>
      </c>
      <c r="C27" s="5" t="str">
        <f>VLOOKUP($A27, 'Job Data'!$A$2:$P$220,2, FALSE)</f>
        <v>MRL</v>
      </c>
      <c r="D27" s="5" t="str">
        <f>VLOOKUP($A27, 'Job Data'!$A$2:$P$220,3, FALSE)</f>
        <v>TBA</v>
      </c>
      <c r="E27" s="5" t="str">
        <f>VLOOKUP($A27, 'Job Data'!$A$2:$P$220,14, FALSE)</f>
        <v>AQ0062 Stationary Tramp Iron Magnet</v>
      </c>
      <c r="F27" s="1" t="str">
        <f>VLOOKUP($A27, 'Job Data'!$A$2:$P$220,15, FALSE)</f>
        <v>C:\Users\wubia\OneDrive - Longi Magnet Australia Pty ltd\Documents - Longi Australia\03 Project Management\Client\MRL\TBA\AQ0062 Stationary Tramp Iron Magnet</v>
      </c>
      <c r="G27" s="16" t="str">
        <f t="shared" si="0"/>
        <v>Open Project Folder</v>
      </c>
      <c r="H27" s="1"/>
    </row>
    <row r="28" spans="1:8" ht="24.65" customHeight="1">
      <c r="A28" s="24" t="s">
        <v>715</v>
      </c>
      <c r="B28" s="24">
        <v>1</v>
      </c>
      <c r="C28" s="5" t="str">
        <f>VLOOKUP($A28, 'Job Data'!$A$2:$P$220,2, FALSE)</f>
        <v>MRL</v>
      </c>
      <c r="D28" s="5" t="str">
        <f>VLOOKUP($A28, 'Job Data'!$A$2:$P$220,3, FALSE)</f>
        <v>Mauritania</v>
      </c>
      <c r="E28" s="5" t="str">
        <f>VLOOKUP($A28, 'Job Data'!$A$2:$P$220,14, FALSE)</f>
        <v xml:space="preserve">AQ0074 El Aouj Project LJK </v>
      </c>
      <c r="F28" s="1" t="str">
        <f>VLOOKUP($A28, 'Job Data'!$A$2:$P$220,15, FALSE)</f>
        <v xml:space="preserve">C:\Users\wubia\OneDrive - Longi Magnet Australia Pty ltd\Documents - Longi Australia\03 Project Management\Client\MRL\Mauritania\AQ0074 El Aouj Project LJK </v>
      </c>
      <c r="G28" s="16" t="str">
        <f t="shared" si="0"/>
        <v>Open Project Folder</v>
      </c>
      <c r="H28" s="1"/>
    </row>
    <row r="29" spans="1:8" ht="24.65" customHeight="1">
      <c r="A29" s="22" t="s">
        <v>714</v>
      </c>
      <c r="B29" s="24">
        <v>1</v>
      </c>
      <c r="C29" s="5" t="str">
        <f>VLOOKUP($A29, 'Job Data'!$A$2:$P$220,2, FALSE)</f>
        <v>MRL</v>
      </c>
      <c r="D29" s="5" t="str">
        <f>VLOOKUP($A29, 'Job Data'!$A$2:$P$220,3, FALSE)</f>
        <v>Mt Marion</v>
      </c>
      <c r="E29" s="5" t="str">
        <f>VLOOKUP($A29, 'Job Data'!$A$2:$P$220,14, FALSE)</f>
        <v>AQ0078 HDMS Drum Assembly</v>
      </c>
      <c r="F29" s="1" t="str">
        <f>VLOOKUP($A29, 'Job Data'!$A$2:$P$220,15, FALSE)</f>
        <v>C:\Users\wubia\OneDrive - Longi Magnet Australia Pty ltd\Documents - Longi Australia\03 Project Management\Client\MRL\Mt Marion\AQ0078 HDMS Drum Assembly</v>
      </c>
      <c r="G29" s="16" t="str">
        <f t="shared" si="0"/>
        <v>Open Project Folder</v>
      </c>
      <c r="H29" s="1"/>
    </row>
    <row r="30" spans="1:8" ht="24.65" customHeight="1">
      <c r="A30" s="22" t="s">
        <v>217</v>
      </c>
      <c r="B30" s="22">
        <v>23</v>
      </c>
      <c r="C30" s="5" t="e">
        <f>VLOOKUP($A30, 'Job Data'!$A$2:$P$220,2, FALSE)</f>
        <v>#N/A</v>
      </c>
      <c r="D30" s="5" t="e">
        <f>VLOOKUP($A30, 'Job Data'!$A$2:$P$220,3, FALSE)</f>
        <v>#N/A</v>
      </c>
      <c r="E30" s="5" t="e">
        <f>VLOOKUP($A30, 'Job Data'!$A$2:$P$220,14, FALSE)</f>
        <v>#N/A</v>
      </c>
      <c r="F30" s="1" t="e">
        <f>VLOOKUP($A30, 'Job Data'!$A$2:$P$220,15, FALSE)</f>
        <v>#N/A</v>
      </c>
      <c r="G30" s="16" t="e">
        <f t="shared" si="0"/>
        <v>#N/A</v>
      </c>
      <c r="H30" s="1"/>
    </row>
    <row r="31" spans="1:8" ht="24.65" customHeight="1">
      <c r="C31" s="5" t="e">
        <f>VLOOKUP($A31, 'Job Data'!$A$2:$P$220,2, FALSE)</f>
        <v>#N/A</v>
      </c>
      <c r="D31" s="5" t="e">
        <f>VLOOKUP($A31, 'Job Data'!$A$2:$P$220,3, FALSE)</f>
        <v>#N/A</v>
      </c>
      <c r="E31" s="5" t="e">
        <f>VLOOKUP($A31, 'Job Data'!$A$2:$P$220,14, FALSE)</f>
        <v>#N/A</v>
      </c>
      <c r="F31" s="1" t="e">
        <f>VLOOKUP($A31, 'Job Data'!$A$2:$P$220,15, FALSE)</f>
        <v>#N/A</v>
      </c>
      <c r="G31" s="16" t="e">
        <f t="shared" si="0"/>
        <v>#N/A</v>
      </c>
      <c r="H31" s="1"/>
    </row>
    <row r="32" spans="1:8" ht="24.65" customHeight="1">
      <c r="C32" s="5" t="e">
        <f>VLOOKUP($A32, 'Job Data'!$A$2:$P$220,2, FALSE)</f>
        <v>#N/A</v>
      </c>
      <c r="D32" s="5" t="e">
        <f>VLOOKUP($A32, 'Job Data'!$A$2:$P$220,3, FALSE)</f>
        <v>#N/A</v>
      </c>
      <c r="E32" s="5" t="e">
        <f>VLOOKUP($A32, 'Job Data'!$A$2:$P$220,14, FALSE)</f>
        <v>#N/A</v>
      </c>
      <c r="F32" s="1" t="e">
        <f>VLOOKUP($A32, 'Job Data'!$A$2:$P$220,15, FALSE)</f>
        <v>#N/A</v>
      </c>
      <c r="G32" s="16" t="e">
        <f t="shared" si="0"/>
        <v>#N/A</v>
      </c>
      <c r="H32" s="1"/>
    </row>
    <row r="33" spans="3:8" ht="24.65" customHeight="1">
      <c r="C33" s="5" t="e">
        <f>VLOOKUP($A33, 'Job Data'!$A$2:$P$220,2, FALSE)</f>
        <v>#N/A</v>
      </c>
      <c r="D33" s="5" t="e">
        <f>VLOOKUP($A33, 'Job Data'!$A$2:$P$220,3, FALSE)</f>
        <v>#N/A</v>
      </c>
      <c r="E33" s="5" t="e">
        <f>VLOOKUP($A33, 'Job Data'!$A$2:$P$220,14, FALSE)</f>
        <v>#N/A</v>
      </c>
      <c r="F33" s="1" t="e">
        <f>VLOOKUP($A33, 'Job Data'!$A$2:$P$220,15, FALSE)</f>
        <v>#N/A</v>
      </c>
      <c r="G33" s="16" t="e">
        <f t="shared" si="0"/>
        <v>#N/A</v>
      </c>
      <c r="H33" s="1"/>
    </row>
    <row r="34" spans="3:8" ht="24.65" customHeight="1">
      <c r="C34" s="5" t="e">
        <f>VLOOKUP($A34, 'Job Data'!$A$2:$P$220,2, FALSE)</f>
        <v>#N/A</v>
      </c>
      <c r="D34" s="5" t="e">
        <f>VLOOKUP($A34, 'Job Data'!$A$2:$P$220,3, FALSE)</f>
        <v>#N/A</v>
      </c>
      <c r="E34" s="5" t="e">
        <f>VLOOKUP($A34, 'Job Data'!$A$2:$P$220,14, FALSE)</f>
        <v>#N/A</v>
      </c>
      <c r="F34" s="1" t="e">
        <f>VLOOKUP($A34, 'Job Data'!$A$2:$P$220,15, FALSE)</f>
        <v>#N/A</v>
      </c>
      <c r="G34" s="16" t="e">
        <f t="shared" si="0"/>
        <v>#N/A</v>
      </c>
      <c r="H34" s="1"/>
    </row>
    <row r="35" spans="3:8" ht="24.65" customHeight="1">
      <c r="C35" s="5" t="e">
        <f>VLOOKUP($A35, 'Job Data'!$A$2:$P$220,2, FALSE)</f>
        <v>#N/A</v>
      </c>
      <c r="D35" s="5" t="e">
        <f>VLOOKUP($A35, 'Job Data'!$A$2:$P$220,3, FALSE)</f>
        <v>#N/A</v>
      </c>
      <c r="E35" s="5" t="e">
        <f>VLOOKUP($A35, 'Job Data'!$A$2:$P$220,14, FALSE)</f>
        <v>#N/A</v>
      </c>
      <c r="F35" s="1" t="e">
        <f>VLOOKUP($A35, 'Job Data'!$A$2:$P$220,15, FALSE)</f>
        <v>#N/A</v>
      </c>
      <c r="G35" s="16" t="e">
        <f t="shared" si="0"/>
        <v>#N/A</v>
      </c>
      <c r="H35" s="1"/>
    </row>
    <row r="36" spans="3:8" ht="24.65" customHeight="1">
      <c r="C36" s="5" t="e">
        <f>VLOOKUP($A36, 'Job Data'!$A$2:$P$220,2, FALSE)</f>
        <v>#N/A</v>
      </c>
      <c r="D36" s="5" t="e">
        <f>VLOOKUP($A36, 'Job Data'!$A$2:$P$220,3, FALSE)</f>
        <v>#N/A</v>
      </c>
      <c r="E36" s="5" t="e">
        <f>VLOOKUP($A36, 'Job Data'!$A$2:$P$220,14, FALSE)</f>
        <v>#N/A</v>
      </c>
      <c r="F36" s="1" t="e">
        <f>VLOOKUP($A36, 'Job Data'!$A$2:$P$220,15, FALSE)</f>
        <v>#N/A</v>
      </c>
      <c r="G36" s="16" t="e">
        <f t="shared" si="0"/>
        <v>#N/A</v>
      </c>
      <c r="H36" s="1"/>
    </row>
    <row r="37" spans="3:8" ht="24.65" customHeight="1">
      <c r="C37" s="5" t="e">
        <f>VLOOKUP($A37, 'Job Data'!$A$2:$P$220,2, FALSE)</f>
        <v>#N/A</v>
      </c>
      <c r="D37" s="5" t="e">
        <f>VLOOKUP($A37, 'Job Data'!$A$2:$P$220,3, FALSE)</f>
        <v>#N/A</v>
      </c>
      <c r="E37" s="5" t="e">
        <f>VLOOKUP($A37, 'Job Data'!$A$2:$P$220,14, FALSE)</f>
        <v>#N/A</v>
      </c>
      <c r="F37" s="1" t="e">
        <f>VLOOKUP($A37, 'Job Data'!$A$2:$P$220,15, FALSE)</f>
        <v>#N/A</v>
      </c>
      <c r="G37" s="16" t="e">
        <f t="shared" si="0"/>
        <v>#N/A</v>
      </c>
      <c r="H37" s="1"/>
    </row>
    <row r="38" spans="3:8" ht="24.65" customHeight="1">
      <c r="C38" s="5" t="e">
        <f>VLOOKUP($A38, 'Job Data'!$A$2:$P$220,2, FALSE)</f>
        <v>#N/A</v>
      </c>
      <c r="D38" s="5" t="e">
        <f>VLOOKUP($A38, 'Job Data'!$A$2:$P$220,3, FALSE)</f>
        <v>#N/A</v>
      </c>
      <c r="E38" s="5" t="e">
        <f>VLOOKUP($A38, 'Job Data'!$A$2:$P$220,14, FALSE)</f>
        <v>#N/A</v>
      </c>
      <c r="F38" s="1" t="e">
        <f>VLOOKUP($A38, 'Job Data'!$A$2:$P$220,15, FALSE)</f>
        <v>#N/A</v>
      </c>
      <c r="G38" s="16" t="e">
        <f t="shared" si="0"/>
        <v>#N/A</v>
      </c>
      <c r="H38" s="1"/>
    </row>
    <row r="39" spans="3:8" ht="24.65" customHeight="1">
      <c r="C39" s="5" t="e">
        <f>VLOOKUP($A39, 'Job Data'!$A$2:$P$220,2, FALSE)</f>
        <v>#N/A</v>
      </c>
      <c r="D39" s="5" t="e">
        <f>VLOOKUP($A39, 'Job Data'!$A$2:$P$220,3, FALSE)</f>
        <v>#N/A</v>
      </c>
      <c r="E39" s="5" t="e">
        <f>VLOOKUP($A39, 'Job Data'!$A$2:$P$220,14, FALSE)</f>
        <v>#N/A</v>
      </c>
      <c r="F39" s="1" t="e">
        <f>VLOOKUP($A39, 'Job Data'!$A$2:$P$220,15, FALSE)</f>
        <v>#N/A</v>
      </c>
      <c r="G39" s="16" t="e">
        <f t="shared" si="0"/>
        <v>#N/A</v>
      </c>
      <c r="H39" s="1"/>
    </row>
    <row r="40" spans="3:8" ht="24.65" customHeight="1">
      <c r="C40" s="5" t="e">
        <f>VLOOKUP($A40, 'Job Data'!$A$2:$P$220,2, FALSE)</f>
        <v>#N/A</v>
      </c>
      <c r="D40" s="5" t="e">
        <f>VLOOKUP($A40, 'Job Data'!$A$2:$P$220,3, FALSE)</f>
        <v>#N/A</v>
      </c>
      <c r="E40" s="5" t="e">
        <f>VLOOKUP($A40, 'Job Data'!$A$2:$P$220,14, FALSE)</f>
        <v>#N/A</v>
      </c>
      <c r="F40" s="1" t="e">
        <f>VLOOKUP($A40, 'Job Data'!$A$2:$P$220,15, FALSE)</f>
        <v>#N/A</v>
      </c>
      <c r="G40" s="16" t="e">
        <f t="shared" si="0"/>
        <v>#N/A</v>
      </c>
      <c r="H40" s="1"/>
    </row>
    <row r="41" spans="3:8" ht="24.65" customHeight="1">
      <c r="C41" s="5" t="e">
        <f>VLOOKUP($A41, 'Job Data'!$A$2:$P$220,2, FALSE)</f>
        <v>#N/A</v>
      </c>
      <c r="D41" s="5" t="e">
        <f>VLOOKUP($A41, 'Job Data'!$A$2:$P$220,3, FALSE)</f>
        <v>#N/A</v>
      </c>
      <c r="E41" s="5" t="e">
        <f>VLOOKUP($A41, 'Job Data'!$A$2:$P$220,14, FALSE)</f>
        <v>#N/A</v>
      </c>
      <c r="F41" s="1" t="e">
        <f>VLOOKUP($A41, 'Job Data'!$A$2:$P$220,15, FALSE)</f>
        <v>#N/A</v>
      </c>
      <c r="G41" s="16" t="e">
        <f t="shared" si="0"/>
        <v>#N/A</v>
      </c>
      <c r="H41" s="1"/>
    </row>
    <row r="42" spans="3:8" ht="24.65" customHeight="1">
      <c r="C42" s="5" t="e">
        <f>VLOOKUP($A42, 'Job Data'!$A$2:$P$220,2, FALSE)</f>
        <v>#N/A</v>
      </c>
      <c r="D42" s="5" t="e">
        <f>VLOOKUP($A42, 'Job Data'!$A$2:$P$220,3, FALSE)</f>
        <v>#N/A</v>
      </c>
      <c r="E42" s="5" t="e">
        <f>VLOOKUP($A42, 'Job Data'!$A$2:$P$220,14, FALSE)</f>
        <v>#N/A</v>
      </c>
      <c r="F42" s="1" t="e">
        <f>VLOOKUP($A42, 'Job Data'!$A$2:$P$220,15, FALSE)</f>
        <v>#N/A</v>
      </c>
      <c r="G42" s="16" t="e">
        <f t="shared" si="0"/>
        <v>#N/A</v>
      </c>
      <c r="H42" s="1"/>
    </row>
    <row r="43" spans="3:8" ht="24.65" customHeight="1">
      <c r="C43" s="5" t="e">
        <f>VLOOKUP($A43, 'Job Data'!$A$2:$P$220,2, FALSE)</f>
        <v>#N/A</v>
      </c>
      <c r="D43" s="5" t="e">
        <f>VLOOKUP($A43, 'Job Data'!$A$2:$P$220,3, FALSE)</f>
        <v>#N/A</v>
      </c>
      <c r="E43" s="5" t="e">
        <f>VLOOKUP($A43, 'Job Data'!$A$2:$P$220,14, FALSE)</f>
        <v>#N/A</v>
      </c>
      <c r="F43" s="1" t="e">
        <f>VLOOKUP($A43, 'Job Data'!$A$2:$P$220,15, FALSE)</f>
        <v>#N/A</v>
      </c>
      <c r="G43" s="16" t="e">
        <f t="shared" si="0"/>
        <v>#N/A</v>
      </c>
      <c r="H43" s="1"/>
    </row>
    <row r="44" spans="3:8" ht="24.65" customHeight="1">
      <c r="C44" s="5" t="e">
        <f>VLOOKUP($A44, 'Job Data'!$A$2:$P$220,2, FALSE)</f>
        <v>#N/A</v>
      </c>
      <c r="D44" s="5" t="e">
        <f>VLOOKUP($A44, 'Job Data'!$A$2:$P$220,3, FALSE)</f>
        <v>#N/A</v>
      </c>
      <c r="E44" s="5" t="e">
        <f>VLOOKUP($A44, 'Job Data'!$A$2:$P$220,14, FALSE)</f>
        <v>#N/A</v>
      </c>
      <c r="F44" s="1" t="e">
        <f>VLOOKUP($A44, 'Job Data'!$A$2:$P$220,15, FALSE)</f>
        <v>#N/A</v>
      </c>
      <c r="G44" s="16" t="e">
        <f t="shared" si="0"/>
        <v>#N/A</v>
      </c>
      <c r="H44" s="1"/>
    </row>
    <row r="45" spans="3:8" ht="24.65" customHeight="1">
      <c r="C45" s="5" t="e">
        <f>VLOOKUP($A45, 'Job Data'!$A$2:$P$220,2, FALSE)</f>
        <v>#N/A</v>
      </c>
      <c r="D45" s="5" t="e">
        <f>VLOOKUP($A45, 'Job Data'!$A$2:$P$220,3, FALSE)</f>
        <v>#N/A</v>
      </c>
      <c r="E45" s="5" t="e">
        <f>VLOOKUP($A45, 'Job Data'!$A$2:$P$220,14, FALSE)</f>
        <v>#N/A</v>
      </c>
      <c r="F45" s="1" t="e">
        <f>VLOOKUP($A45, 'Job Data'!$A$2:$P$220,15, FALSE)</f>
        <v>#N/A</v>
      </c>
      <c r="G45" s="16" t="e">
        <f t="shared" si="0"/>
        <v>#N/A</v>
      </c>
      <c r="H45" s="1"/>
    </row>
    <row r="46" spans="3:8" ht="24.65" customHeight="1">
      <c r="C46" s="5" t="e">
        <f>VLOOKUP($A46, 'Job Data'!$A$2:$P$220,2, FALSE)</f>
        <v>#N/A</v>
      </c>
      <c r="D46" s="5" t="e">
        <f>VLOOKUP($A46, 'Job Data'!$A$2:$P$220,3, FALSE)</f>
        <v>#N/A</v>
      </c>
      <c r="E46" s="5" t="e">
        <f>VLOOKUP($A46, 'Job Data'!$A$2:$P$220,14, FALSE)</f>
        <v>#N/A</v>
      </c>
      <c r="F46" s="1" t="e">
        <f>VLOOKUP($A46, 'Job Data'!$A$2:$P$220,15, FALSE)</f>
        <v>#N/A</v>
      </c>
      <c r="G46" s="16" t="e">
        <f t="shared" si="0"/>
        <v>#N/A</v>
      </c>
      <c r="H46" s="1"/>
    </row>
    <row r="47" spans="3:8" ht="24.65" customHeight="1">
      <c r="C47" s="5" t="e">
        <f>VLOOKUP($A47, 'Job Data'!$A$2:$P$220,2, FALSE)</f>
        <v>#N/A</v>
      </c>
      <c r="D47" s="5" t="e">
        <f>VLOOKUP($A47, 'Job Data'!$A$2:$P$220,3, FALSE)</f>
        <v>#N/A</v>
      </c>
      <c r="E47" s="5" t="e">
        <f>VLOOKUP($A47, 'Job Data'!$A$2:$P$220,14, FALSE)</f>
        <v>#N/A</v>
      </c>
      <c r="F47" s="1" t="e">
        <f>VLOOKUP($A47, 'Job Data'!$A$2:$P$220,15, FALSE)</f>
        <v>#N/A</v>
      </c>
      <c r="G47" s="16" t="e">
        <f t="shared" si="0"/>
        <v>#N/A</v>
      </c>
      <c r="H47" s="1"/>
    </row>
    <row r="48" spans="3:8" ht="24.65" customHeight="1">
      <c r="C48" s="5" t="e">
        <f>VLOOKUP($A48, 'Job Data'!$A$2:$P$220,2, FALSE)</f>
        <v>#N/A</v>
      </c>
      <c r="D48" s="5" t="e">
        <f>VLOOKUP($A48, 'Job Data'!$A$2:$P$220,3, FALSE)</f>
        <v>#N/A</v>
      </c>
      <c r="E48" s="5" t="e">
        <f>VLOOKUP($A48, 'Job Data'!$A$2:$P$220,14, FALSE)</f>
        <v>#N/A</v>
      </c>
      <c r="F48" s="1" t="e">
        <f>VLOOKUP($A48, 'Job Data'!$A$2:$P$220,15, FALSE)</f>
        <v>#N/A</v>
      </c>
      <c r="G48" s="16" t="e">
        <f t="shared" si="0"/>
        <v>#N/A</v>
      </c>
      <c r="H48" s="1"/>
    </row>
    <row r="49" spans="3:8" ht="24.65" customHeight="1">
      <c r="C49" s="5" t="e">
        <f>VLOOKUP($A49, 'Job Data'!$A$2:$P$220,2, FALSE)</f>
        <v>#N/A</v>
      </c>
      <c r="D49" s="5" t="e">
        <f>VLOOKUP($A49, 'Job Data'!$A$2:$P$220,3, FALSE)</f>
        <v>#N/A</v>
      </c>
      <c r="E49" s="5" t="e">
        <f>VLOOKUP($A49, 'Job Data'!$A$2:$P$220,14, FALSE)</f>
        <v>#N/A</v>
      </c>
      <c r="F49" s="1" t="e">
        <f>VLOOKUP($A49, 'Job Data'!$A$2:$P$220,15, FALSE)</f>
        <v>#N/A</v>
      </c>
      <c r="G49" s="16" t="e">
        <f t="shared" si="0"/>
        <v>#N/A</v>
      </c>
      <c r="H49" s="1"/>
    </row>
    <row r="50" spans="3:8" ht="24.65" customHeight="1">
      <c r="C50" s="5" t="e">
        <f>VLOOKUP($A50, 'Job Data'!$A$2:$P$220,2, FALSE)</f>
        <v>#N/A</v>
      </c>
      <c r="D50" s="5" t="e">
        <f>VLOOKUP($A50, 'Job Data'!$A$2:$P$220,3, FALSE)</f>
        <v>#N/A</v>
      </c>
      <c r="E50" s="5" t="e">
        <f>VLOOKUP($A50, 'Job Data'!$A$2:$P$220,14, FALSE)</f>
        <v>#N/A</v>
      </c>
      <c r="F50" s="1" t="e">
        <f>VLOOKUP($A50, 'Job Data'!$A$2:$P$220,15, FALSE)</f>
        <v>#N/A</v>
      </c>
      <c r="G50" s="16" t="e">
        <f t="shared" si="0"/>
        <v>#N/A</v>
      </c>
      <c r="H50" s="1"/>
    </row>
    <row r="51" spans="3:8" ht="24.65" customHeight="1">
      <c r="C51" s="5" t="e">
        <f>VLOOKUP($A51, 'Job Data'!$A$2:$P$220,2, FALSE)</f>
        <v>#N/A</v>
      </c>
      <c r="D51" s="5" t="e">
        <f>VLOOKUP($A51, 'Job Data'!$A$2:$P$220,3, FALSE)</f>
        <v>#N/A</v>
      </c>
      <c r="E51" s="5" t="e">
        <f>VLOOKUP($A51, 'Job Data'!$A$2:$P$220,14, FALSE)</f>
        <v>#N/A</v>
      </c>
      <c r="F51" s="1" t="e">
        <f>VLOOKUP($A51, 'Job Data'!$A$2:$P$220,15, FALSE)</f>
        <v>#N/A</v>
      </c>
      <c r="G51" s="16" t="e">
        <f t="shared" si="0"/>
        <v>#N/A</v>
      </c>
      <c r="H51" s="1"/>
    </row>
    <row r="52" spans="3:8" ht="24.65" customHeight="1">
      <c r="C52" s="5" t="e">
        <f>VLOOKUP($A52, 'Job Data'!$A$2:$P$220,2, FALSE)</f>
        <v>#N/A</v>
      </c>
      <c r="D52" s="5" t="e">
        <f>VLOOKUP($A52, 'Job Data'!$A$2:$P$220,3, FALSE)</f>
        <v>#N/A</v>
      </c>
      <c r="E52" s="5" t="e">
        <f>VLOOKUP($A52, 'Job Data'!$A$2:$P$220,14, FALSE)</f>
        <v>#N/A</v>
      </c>
      <c r="F52" s="1" t="e">
        <f>VLOOKUP($A52, 'Job Data'!$A$2:$P$220,15, FALSE)</f>
        <v>#N/A</v>
      </c>
      <c r="G52" s="16" t="e">
        <f t="shared" si="0"/>
        <v>#N/A</v>
      </c>
      <c r="H52" s="1"/>
    </row>
    <row r="53" spans="3:8" ht="24.65" customHeight="1">
      <c r="C53" s="5" t="e">
        <f>VLOOKUP($A53, 'Job Data'!$A$2:$P$220,2, FALSE)</f>
        <v>#N/A</v>
      </c>
      <c r="D53" s="5" t="e">
        <f>VLOOKUP($A53, 'Job Data'!$A$2:$P$220,3, FALSE)</f>
        <v>#N/A</v>
      </c>
      <c r="E53" s="5" t="e">
        <f>VLOOKUP($A53, 'Job Data'!$A$2:$P$220,14, FALSE)</f>
        <v>#N/A</v>
      </c>
      <c r="F53" s="1" t="e">
        <f>VLOOKUP($A53, 'Job Data'!$A$2:$P$220,15, FALSE)</f>
        <v>#N/A</v>
      </c>
      <c r="G53" s="16" t="e">
        <f t="shared" si="0"/>
        <v>#N/A</v>
      </c>
      <c r="H53" s="1"/>
    </row>
    <row r="54" spans="3:8" ht="24.65" customHeight="1">
      <c r="C54" s="5" t="e">
        <f>VLOOKUP($A54, 'Job Data'!$A$2:$P$220,2, FALSE)</f>
        <v>#N/A</v>
      </c>
      <c r="D54" s="5" t="e">
        <f>VLOOKUP($A54, 'Job Data'!$A$2:$P$220,3, FALSE)</f>
        <v>#N/A</v>
      </c>
      <c r="E54" s="5" t="e">
        <f>VLOOKUP($A54, 'Job Data'!$A$2:$P$220,14, FALSE)</f>
        <v>#N/A</v>
      </c>
      <c r="F54" s="1" t="e">
        <f>VLOOKUP($A54, 'Job Data'!$A$2:$P$220,15, FALSE)</f>
        <v>#N/A</v>
      </c>
      <c r="G54" s="16" t="e">
        <f t="shared" si="0"/>
        <v>#N/A</v>
      </c>
      <c r="H54" s="1"/>
    </row>
    <row r="55" spans="3:8" ht="24.65" customHeight="1">
      <c r="C55" s="5" t="e">
        <f>VLOOKUP($A55, 'Job Data'!$A$2:$P$220,2, FALSE)</f>
        <v>#N/A</v>
      </c>
      <c r="D55" s="5" t="e">
        <f>VLOOKUP($A55, 'Job Data'!$A$2:$P$220,3, FALSE)</f>
        <v>#N/A</v>
      </c>
      <c r="E55" s="5" t="e">
        <f>VLOOKUP($A55, 'Job Data'!$A$2:$P$220,14, FALSE)</f>
        <v>#N/A</v>
      </c>
      <c r="F55" s="1" t="e">
        <f>VLOOKUP($A55, 'Job Data'!$A$2:$P$220,15, FALSE)</f>
        <v>#N/A</v>
      </c>
      <c r="G55" s="16" t="e">
        <f t="shared" si="0"/>
        <v>#N/A</v>
      </c>
      <c r="H55" s="1"/>
    </row>
    <row r="56" spans="3:8" ht="24.65" customHeight="1">
      <c r="C56" s="5" t="e">
        <f>VLOOKUP($A56, 'Job Data'!$A$2:$P$220,2, FALSE)</f>
        <v>#N/A</v>
      </c>
      <c r="D56" s="5" t="e">
        <f>VLOOKUP($A56, 'Job Data'!$A$2:$P$220,3, FALSE)</f>
        <v>#N/A</v>
      </c>
      <c r="E56" s="5" t="e">
        <f>VLOOKUP($A56, 'Job Data'!$A$2:$P$220,14, FALSE)</f>
        <v>#N/A</v>
      </c>
      <c r="F56" s="1" t="e">
        <f>VLOOKUP($A56, 'Job Data'!$A$2:$P$220,15, FALSE)</f>
        <v>#N/A</v>
      </c>
      <c r="G56" s="16" t="e">
        <f t="shared" si="0"/>
        <v>#N/A</v>
      </c>
      <c r="H56" s="1"/>
    </row>
    <row r="57" spans="3:8" ht="24.65" customHeight="1">
      <c r="C57" s="5" t="e">
        <f>VLOOKUP($A57, 'Job Data'!$A$2:$P$220,2, FALSE)</f>
        <v>#N/A</v>
      </c>
      <c r="D57" s="5" t="e">
        <f>VLOOKUP($A57, 'Job Data'!$A$2:$P$220,3, FALSE)</f>
        <v>#N/A</v>
      </c>
      <c r="E57" s="5" t="e">
        <f>VLOOKUP($A57, 'Job Data'!$A$2:$P$220,14, FALSE)</f>
        <v>#N/A</v>
      </c>
      <c r="F57" s="1" t="e">
        <f>VLOOKUP($A57, 'Job Data'!$A$2:$P$220,15, FALSE)</f>
        <v>#N/A</v>
      </c>
      <c r="G57" s="16" t="e">
        <f t="shared" si="0"/>
        <v>#N/A</v>
      </c>
      <c r="H57" s="1"/>
    </row>
    <row r="58" spans="3:8" ht="24.65" customHeight="1">
      <c r="C58" s="5" t="e">
        <f>VLOOKUP($A58, 'Job Data'!$A$2:$P$220,2, FALSE)</f>
        <v>#N/A</v>
      </c>
      <c r="D58" s="5" t="e">
        <f>VLOOKUP($A58, 'Job Data'!$A$2:$P$220,3, FALSE)</f>
        <v>#N/A</v>
      </c>
      <c r="E58" s="5" t="e">
        <f>VLOOKUP($A58, 'Job Data'!$A$2:$P$220,14, FALSE)</f>
        <v>#N/A</v>
      </c>
      <c r="F58" s="1" t="e">
        <f>VLOOKUP($A58, 'Job Data'!$A$2:$P$220,15, FALSE)</f>
        <v>#N/A</v>
      </c>
      <c r="G58" s="16" t="e">
        <f t="shared" si="0"/>
        <v>#N/A</v>
      </c>
      <c r="H58" s="1"/>
    </row>
    <row r="59" spans="3:8" ht="24.65" customHeight="1">
      <c r="C59" s="5" t="e">
        <f>VLOOKUP($A59, 'Job Data'!$A$2:$P$220,2, FALSE)</f>
        <v>#N/A</v>
      </c>
      <c r="D59" s="5" t="e">
        <f>VLOOKUP($A59, 'Job Data'!$A$2:$P$220,3, FALSE)</f>
        <v>#N/A</v>
      </c>
      <c r="E59" s="5" t="e">
        <f>VLOOKUP($A59, 'Job Data'!$A$2:$P$220,14, FALSE)</f>
        <v>#N/A</v>
      </c>
      <c r="F59" s="1" t="e">
        <f>VLOOKUP($A59, 'Job Data'!$A$2:$P$220,15, FALSE)</f>
        <v>#N/A</v>
      </c>
      <c r="G59" s="16" t="e">
        <f t="shared" si="0"/>
        <v>#N/A</v>
      </c>
      <c r="H59" s="1"/>
    </row>
    <row r="60" spans="3:8" ht="24.65" customHeight="1">
      <c r="C60" s="5" t="e">
        <f>VLOOKUP($A60, 'Job Data'!$A$2:$P$220,2, FALSE)</f>
        <v>#N/A</v>
      </c>
      <c r="D60" s="5" t="e">
        <f>VLOOKUP($A60, 'Job Data'!$A$2:$P$220,3, FALSE)</f>
        <v>#N/A</v>
      </c>
      <c r="E60" s="5" t="e">
        <f>VLOOKUP($A60, 'Job Data'!$A$2:$P$220,14, FALSE)</f>
        <v>#N/A</v>
      </c>
      <c r="F60" s="1" t="e">
        <f>VLOOKUP($A60, 'Job Data'!$A$2:$P$220,15, FALSE)</f>
        <v>#N/A</v>
      </c>
      <c r="G60" s="16" t="e">
        <f t="shared" si="0"/>
        <v>#N/A</v>
      </c>
      <c r="H60" s="1"/>
    </row>
    <row r="61" spans="3:8" ht="24.65" customHeight="1">
      <c r="C61" s="5" t="e">
        <f>VLOOKUP($A61, 'Job Data'!$A$2:$P$220,2, FALSE)</f>
        <v>#N/A</v>
      </c>
      <c r="D61" s="5" t="e">
        <f>VLOOKUP($A61, 'Job Data'!$A$2:$P$220,3, FALSE)</f>
        <v>#N/A</v>
      </c>
      <c r="E61" s="5" t="e">
        <f>VLOOKUP($A61, 'Job Data'!$A$2:$P$220,14, FALSE)</f>
        <v>#N/A</v>
      </c>
      <c r="F61" s="1" t="e">
        <f>VLOOKUP($A61, 'Job Data'!$A$2:$P$220,15, FALSE)</f>
        <v>#N/A</v>
      </c>
      <c r="G61" s="16" t="e">
        <f t="shared" si="0"/>
        <v>#N/A</v>
      </c>
      <c r="H61" s="1"/>
    </row>
    <row r="62" spans="3:8" ht="24.65" customHeight="1">
      <c r="C62" s="5" t="e">
        <f>VLOOKUP($A62, 'Job Data'!$A$2:$P$220,2, FALSE)</f>
        <v>#N/A</v>
      </c>
      <c r="D62" s="5" t="e">
        <f>VLOOKUP($A62, 'Job Data'!$A$2:$P$220,3, FALSE)</f>
        <v>#N/A</v>
      </c>
      <c r="E62" s="5" t="e">
        <f>VLOOKUP($A62, 'Job Data'!$A$2:$P$220,14, FALSE)</f>
        <v>#N/A</v>
      </c>
      <c r="F62" s="1" t="e">
        <f>VLOOKUP($A62, 'Job Data'!$A$2:$P$220,15, FALSE)</f>
        <v>#N/A</v>
      </c>
      <c r="G62" s="16" t="e">
        <f t="shared" si="0"/>
        <v>#N/A</v>
      </c>
      <c r="H62" s="1"/>
    </row>
    <row r="63" spans="3:8" ht="24.65" customHeight="1">
      <c r="C63" s="5" t="e">
        <f>VLOOKUP($A63, 'Job Data'!$A$2:$P$220,2, FALSE)</f>
        <v>#N/A</v>
      </c>
      <c r="D63" s="5" t="e">
        <f>VLOOKUP($A63, 'Job Data'!$A$2:$P$220,3, FALSE)</f>
        <v>#N/A</v>
      </c>
      <c r="E63" s="5" t="e">
        <f>VLOOKUP($A63, 'Job Data'!$A$2:$P$220,14, FALSE)</f>
        <v>#N/A</v>
      </c>
      <c r="F63" s="1" t="e">
        <f>VLOOKUP($A63, 'Job Data'!$A$2:$P$220,15, FALSE)</f>
        <v>#N/A</v>
      </c>
      <c r="G63" s="16" t="e">
        <f t="shared" si="0"/>
        <v>#N/A</v>
      </c>
      <c r="H63" s="1"/>
    </row>
    <row r="64" spans="3:8" ht="24.65" customHeight="1">
      <c r="C64" s="5" t="e">
        <f>VLOOKUP($A64, 'Job Data'!$A$2:$P$220,2, FALSE)</f>
        <v>#N/A</v>
      </c>
      <c r="D64" s="5" t="e">
        <f>VLOOKUP($A64, 'Job Data'!$A$2:$P$220,3, FALSE)</f>
        <v>#N/A</v>
      </c>
      <c r="E64" s="5" t="e">
        <f>VLOOKUP($A64, 'Job Data'!$A$2:$P$220,14, FALSE)</f>
        <v>#N/A</v>
      </c>
      <c r="F64" s="1" t="e">
        <f>VLOOKUP($A64, 'Job Data'!$A$2:$P$220,15, FALSE)</f>
        <v>#N/A</v>
      </c>
      <c r="G64" s="16" t="e">
        <f t="shared" si="0"/>
        <v>#N/A</v>
      </c>
      <c r="H64" s="1"/>
    </row>
    <row r="65" spans="3:8" ht="24.65" customHeight="1">
      <c r="C65" s="5" t="e">
        <f>VLOOKUP($A65, 'Job Data'!$A$2:$P$220,2, FALSE)</f>
        <v>#N/A</v>
      </c>
      <c r="D65" s="5" t="e">
        <f>VLOOKUP($A65, 'Job Data'!$A$2:$P$220,3, FALSE)</f>
        <v>#N/A</v>
      </c>
      <c r="E65" s="5" t="e">
        <f>VLOOKUP($A65, 'Job Data'!$A$2:$P$220,14, FALSE)</f>
        <v>#N/A</v>
      </c>
      <c r="F65" s="1" t="e">
        <f>VLOOKUP($A65, 'Job Data'!$A$2:$P$220,15, FALSE)</f>
        <v>#N/A</v>
      </c>
      <c r="G65" s="16" t="e">
        <f t="shared" si="0"/>
        <v>#N/A</v>
      </c>
      <c r="H65" s="1"/>
    </row>
    <row r="66" spans="3:8" ht="24.65" customHeight="1">
      <c r="C66" s="5" t="e">
        <f>VLOOKUP($A66, 'Job Data'!$A$2:$P$220,2, FALSE)</f>
        <v>#N/A</v>
      </c>
      <c r="D66" s="5" t="e">
        <f>VLOOKUP($A66, 'Job Data'!$A$2:$P$220,3, FALSE)</f>
        <v>#N/A</v>
      </c>
      <c r="E66" s="5" t="e">
        <f>VLOOKUP($A66, 'Job Data'!$A$2:$P$220,14, FALSE)</f>
        <v>#N/A</v>
      </c>
      <c r="F66" s="1" t="e">
        <f>VLOOKUP($A66, 'Job Data'!$A$2:$P$220,15, FALSE)</f>
        <v>#N/A</v>
      </c>
      <c r="G66" s="16" t="e">
        <f t="shared" si="0"/>
        <v>#N/A</v>
      </c>
      <c r="H66" s="1"/>
    </row>
    <row r="67" spans="3:8" ht="24.65" customHeight="1">
      <c r="C67" s="5" t="e">
        <f>VLOOKUP($A67, 'Job Data'!$A$2:$P$220,2, FALSE)</f>
        <v>#N/A</v>
      </c>
      <c r="D67" s="5" t="e">
        <f>VLOOKUP($A67, 'Job Data'!$A$2:$P$220,3, FALSE)</f>
        <v>#N/A</v>
      </c>
      <c r="E67" s="5" t="e">
        <f>VLOOKUP($A67, 'Job Data'!$A$2:$P$220,14, FALSE)</f>
        <v>#N/A</v>
      </c>
      <c r="F67" s="1" t="e">
        <f>VLOOKUP($A67, 'Job Data'!$A$2:$P$220,15, FALSE)</f>
        <v>#N/A</v>
      </c>
      <c r="G67" s="16" t="e">
        <f t="shared" si="0"/>
        <v>#N/A</v>
      </c>
      <c r="H67" s="1"/>
    </row>
    <row r="68" spans="3:8" ht="24.65" customHeight="1">
      <c r="C68" s="5" t="e">
        <f>VLOOKUP($A68, 'Job Data'!$A$2:$P$220,2, FALSE)</f>
        <v>#N/A</v>
      </c>
      <c r="D68" s="5" t="e">
        <f>VLOOKUP($A68, 'Job Data'!$A$2:$P$220,3, FALSE)</f>
        <v>#N/A</v>
      </c>
      <c r="E68" s="5" t="e">
        <f>VLOOKUP($A68, 'Job Data'!$A$2:$P$220,14, FALSE)</f>
        <v>#N/A</v>
      </c>
      <c r="F68" s="1" t="e">
        <f>VLOOKUP($A68, 'Job Data'!$A$2:$P$220,15, FALSE)</f>
        <v>#N/A</v>
      </c>
      <c r="G68" s="16" t="e">
        <f t="shared" si="0"/>
        <v>#N/A</v>
      </c>
      <c r="H68" s="1"/>
    </row>
    <row r="69" spans="3:8" ht="24.65" customHeight="1">
      <c r="C69" s="5" t="e">
        <f>VLOOKUP($A69, 'Job Data'!$A$2:$P$220,2, FALSE)</f>
        <v>#N/A</v>
      </c>
      <c r="D69" s="5" t="e">
        <f>VLOOKUP($A69, 'Job Data'!$A$2:$P$220,3, FALSE)</f>
        <v>#N/A</v>
      </c>
      <c r="E69" s="5" t="e">
        <f>VLOOKUP($A69, 'Job Data'!$A$2:$P$220,14, FALSE)</f>
        <v>#N/A</v>
      </c>
      <c r="F69" s="1" t="e">
        <f>VLOOKUP($A69, 'Job Data'!$A$2:$P$220,15, FALSE)</f>
        <v>#N/A</v>
      </c>
      <c r="G69" s="16" t="e">
        <f t="shared" si="0"/>
        <v>#N/A</v>
      </c>
      <c r="H69" s="1"/>
    </row>
    <row r="70" spans="3:8" ht="24.65" customHeight="1">
      <c r="C70" s="5" t="e">
        <f>VLOOKUP($A70, 'Job Data'!$A$2:$P$220,2, FALSE)</f>
        <v>#N/A</v>
      </c>
      <c r="D70" s="5" t="e">
        <f>VLOOKUP($A70, 'Job Data'!$A$2:$P$220,3, FALSE)</f>
        <v>#N/A</v>
      </c>
      <c r="E70" s="5" t="e">
        <f>VLOOKUP($A70, 'Job Data'!$A$2:$P$220,14, FALSE)</f>
        <v>#N/A</v>
      </c>
      <c r="F70" s="1" t="e">
        <f>VLOOKUP($A70, 'Job Data'!$A$2:$P$220,15, FALSE)</f>
        <v>#N/A</v>
      </c>
      <c r="G70" s="16" t="e">
        <f t="shared" si="0"/>
        <v>#N/A</v>
      </c>
      <c r="H70" s="1"/>
    </row>
    <row r="71" spans="3:8" ht="24.65" customHeight="1">
      <c r="C71" s="5" t="e">
        <f>VLOOKUP($A71, 'Job Data'!$A$2:$P$220,2, FALSE)</f>
        <v>#N/A</v>
      </c>
      <c r="D71" s="5" t="e">
        <f>VLOOKUP($A71, 'Job Data'!$A$2:$P$220,3, FALSE)</f>
        <v>#N/A</v>
      </c>
      <c r="E71" s="5" t="e">
        <f>VLOOKUP($A71, 'Job Data'!$A$2:$P$220,14, FALSE)</f>
        <v>#N/A</v>
      </c>
      <c r="F71" s="1" t="e">
        <f>VLOOKUP($A71, 'Job Data'!$A$2:$P$220,15, FALSE)</f>
        <v>#N/A</v>
      </c>
      <c r="G71" s="16" t="e">
        <f t="shared" si="0"/>
        <v>#N/A</v>
      </c>
      <c r="H71" s="1"/>
    </row>
    <row r="72" spans="3:8" ht="24.65" customHeight="1">
      <c r="C72" s="5" t="e">
        <f>VLOOKUP($A72, 'Job Data'!$A$2:$P$220,2, FALSE)</f>
        <v>#N/A</v>
      </c>
      <c r="D72" s="5" t="e">
        <f>VLOOKUP($A72, 'Job Data'!$A$2:$P$220,3, FALSE)</f>
        <v>#N/A</v>
      </c>
      <c r="E72" s="5" t="e">
        <f>VLOOKUP($A72, 'Job Data'!$A$2:$P$220,14, FALSE)</f>
        <v>#N/A</v>
      </c>
      <c r="F72" s="1" t="e">
        <f>VLOOKUP($A72, 'Job Data'!$A$2:$P$220,15, FALSE)</f>
        <v>#N/A</v>
      </c>
      <c r="G72" s="16" t="e">
        <f t="shared" si="0"/>
        <v>#N/A</v>
      </c>
      <c r="H72" s="1"/>
    </row>
    <row r="73" spans="3:8" ht="24.65" customHeight="1">
      <c r="C73" s="5" t="e">
        <f>VLOOKUP($A73, 'Job Data'!$A$2:$P$220,2, FALSE)</f>
        <v>#N/A</v>
      </c>
      <c r="D73" s="5" t="e">
        <f>VLOOKUP($A73, 'Job Data'!$A$2:$P$220,3, FALSE)</f>
        <v>#N/A</v>
      </c>
      <c r="E73" s="5" t="e">
        <f>VLOOKUP($A73, 'Job Data'!$A$2:$P$220,14, FALSE)</f>
        <v>#N/A</v>
      </c>
      <c r="F73" s="1" t="e">
        <f>VLOOKUP($A73, 'Job Data'!$A$2:$P$220,15, FALSE)</f>
        <v>#N/A</v>
      </c>
      <c r="G73" s="16" t="e">
        <f t="shared" ref="G73:G124" si="1">HYPERLINK(SUBSTITUTE(SUBSTITUTE(F73, "C:\Users\wubia\OneDrive - Longi Magnet Australia Pty ltd\Documents - Longi Australia", "C:\Users\hillw\Longi Magnet Australia Pty ltd\Longi Australia - Documents"), "\\", "\\"),"Open Project Folder")</f>
        <v>#N/A</v>
      </c>
      <c r="H73" s="1"/>
    </row>
    <row r="74" spans="3:8" ht="24.65" customHeight="1">
      <c r="C74" s="5" t="e">
        <f>VLOOKUP($A74, 'Job Data'!$A$2:$P$220,2, FALSE)</f>
        <v>#N/A</v>
      </c>
      <c r="D74" s="5" t="e">
        <f>VLOOKUP($A74, 'Job Data'!$A$2:$P$220,3, FALSE)</f>
        <v>#N/A</v>
      </c>
      <c r="E74" s="5" t="e">
        <f>VLOOKUP($A74, 'Job Data'!$A$2:$P$220,14, FALSE)</f>
        <v>#N/A</v>
      </c>
      <c r="F74" s="1" t="e">
        <f>VLOOKUP($A74, 'Job Data'!$A$2:$P$220,15, FALSE)</f>
        <v>#N/A</v>
      </c>
      <c r="G74" s="16" t="e">
        <f t="shared" si="1"/>
        <v>#N/A</v>
      </c>
      <c r="H74" s="1"/>
    </row>
    <row r="75" spans="3:8" ht="24.65" customHeight="1">
      <c r="C75" s="5" t="e">
        <f>VLOOKUP($A75, 'Job Data'!$A$2:$P$220,2, FALSE)</f>
        <v>#N/A</v>
      </c>
      <c r="D75" s="5" t="e">
        <f>VLOOKUP($A75, 'Job Data'!$A$2:$P$220,3, FALSE)</f>
        <v>#N/A</v>
      </c>
      <c r="E75" s="5" t="e">
        <f>VLOOKUP($A75, 'Job Data'!$A$2:$P$220,14, FALSE)</f>
        <v>#N/A</v>
      </c>
      <c r="F75" s="1" t="e">
        <f>VLOOKUP($A75, 'Job Data'!$A$2:$P$220,15, FALSE)</f>
        <v>#N/A</v>
      </c>
      <c r="G75" s="16" t="e">
        <f t="shared" si="1"/>
        <v>#N/A</v>
      </c>
      <c r="H75" s="1"/>
    </row>
    <row r="76" spans="3:8" ht="24.65" customHeight="1">
      <c r="C76" s="5" t="e">
        <f>VLOOKUP($A76, 'Job Data'!$A$2:$P$220,2, FALSE)</f>
        <v>#N/A</v>
      </c>
      <c r="D76" s="5" t="e">
        <f>VLOOKUP($A76, 'Job Data'!$A$2:$P$220,3, FALSE)</f>
        <v>#N/A</v>
      </c>
      <c r="E76" s="5" t="e">
        <f>VLOOKUP($A76, 'Job Data'!$A$2:$P$220,14, FALSE)</f>
        <v>#N/A</v>
      </c>
      <c r="F76" s="1" t="e">
        <f>VLOOKUP($A76, 'Job Data'!$A$2:$P$220,15, FALSE)</f>
        <v>#N/A</v>
      </c>
      <c r="G76" s="16" t="e">
        <f t="shared" si="1"/>
        <v>#N/A</v>
      </c>
      <c r="H76" s="1"/>
    </row>
    <row r="77" spans="3:8" ht="24.65" customHeight="1">
      <c r="C77" s="5" t="e">
        <f>VLOOKUP($A77, 'Job Data'!$A$2:$P$220,2, FALSE)</f>
        <v>#N/A</v>
      </c>
      <c r="D77" s="5" t="e">
        <f>VLOOKUP($A77, 'Job Data'!$A$2:$P$220,3, FALSE)</f>
        <v>#N/A</v>
      </c>
      <c r="E77" s="5" t="e">
        <f>VLOOKUP($A77, 'Job Data'!$A$2:$P$220,14, FALSE)</f>
        <v>#N/A</v>
      </c>
      <c r="F77" s="1" t="e">
        <f>VLOOKUP($A77, 'Job Data'!$A$2:$P$220,15, FALSE)</f>
        <v>#N/A</v>
      </c>
      <c r="G77" s="16" t="e">
        <f t="shared" si="1"/>
        <v>#N/A</v>
      </c>
      <c r="H77" s="1"/>
    </row>
    <row r="78" spans="3:8" ht="24.65" customHeight="1">
      <c r="C78" s="5" t="e">
        <f>VLOOKUP($A78, 'Job Data'!$A$2:$P$220,2, FALSE)</f>
        <v>#N/A</v>
      </c>
      <c r="D78" s="5" t="e">
        <f>VLOOKUP($A78, 'Job Data'!$A$2:$P$220,3, FALSE)</f>
        <v>#N/A</v>
      </c>
      <c r="E78" s="5" t="e">
        <f>VLOOKUP($A78, 'Job Data'!$A$2:$P$220,14, FALSE)</f>
        <v>#N/A</v>
      </c>
      <c r="F78" s="1" t="e">
        <f>VLOOKUP($A78, 'Job Data'!$A$2:$P$220,15, FALSE)</f>
        <v>#N/A</v>
      </c>
      <c r="G78" s="16" t="e">
        <f t="shared" si="1"/>
        <v>#N/A</v>
      </c>
      <c r="H78" s="1"/>
    </row>
    <row r="79" spans="3:8" ht="24.65" customHeight="1">
      <c r="C79" s="5" t="e">
        <f>VLOOKUP($A79, 'Job Data'!$A$2:$P$220,2, FALSE)</f>
        <v>#N/A</v>
      </c>
      <c r="D79" s="5" t="e">
        <f>VLOOKUP($A79, 'Job Data'!$A$2:$P$220,3, FALSE)</f>
        <v>#N/A</v>
      </c>
      <c r="E79" s="5" t="e">
        <f>VLOOKUP($A79, 'Job Data'!$A$2:$P$220,14, FALSE)</f>
        <v>#N/A</v>
      </c>
      <c r="F79" s="1" t="e">
        <f>VLOOKUP($A79, 'Job Data'!$A$2:$P$220,15, FALSE)</f>
        <v>#N/A</v>
      </c>
      <c r="G79" s="16" t="e">
        <f t="shared" si="1"/>
        <v>#N/A</v>
      </c>
      <c r="H79" s="1"/>
    </row>
    <row r="80" spans="3:8" ht="24.65" customHeight="1">
      <c r="C80" s="5" t="e">
        <f>VLOOKUP($A80, 'Job Data'!$A$2:$P$220,2, FALSE)</f>
        <v>#N/A</v>
      </c>
      <c r="D80" s="5" t="e">
        <f>VLOOKUP($A80, 'Job Data'!$A$2:$P$220,3, FALSE)</f>
        <v>#N/A</v>
      </c>
      <c r="E80" s="5" t="e">
        <f>VLOOKUP($A80, 'Job Data'!$A$2:$P$220,14, FALSE)</f>
        <v>#N/A</v>
      </c>
      <c r="F80" s="1" t="e">
        <f>VLOOKUP($A80, 'Job Data'!$A$2:$P$220,15, FALSE)</f>
        <v>#N/A</v>
      </c>
      <c r="G80" s="16" t="e">
        <f t="shared" si="1"/>
        <v>#N/A</v>
      </c>
      <c r="H80" s="1"/>
    </row>
    <row r="81" spans="3:8" ht="24.65" customHeight="1">
      <c r="C81" s="5" t="e">
        <f>VLOOKUP($A81, 'Job Data'!$A$2:$P$220,2, FALSE)</f>
        <v>#N/A</v>
      </c>
      <c r="D81" s="5" t="e">
        <f>VLOOKUP($A81, 'Job Data'!$A$2:$P$220,3, FALSE)</f>
        <v>#N/A</v>
      </c>
      <c r="E81" s="5" t="e">
        <f>VLOOKUP($A81, 'Job Data'!$A$2:$P$220,14, FALSE)</f>
        <v>#N/A</v>
      </c>
      <c r="F81" s="1" t="e">
        <f>VLOOKUP($A81, 'Job Data'!$A$2:$P$220,15, FALSE)</f>
        <v>#N/A</v>
      </c>
      <c r="G81" s="16" t="e">
        <f t="shared" si="1"/>
        <v>#N/A</v>
      </c>
      <c r="H81" s="1"/>
    </row>
    <row r="82" spans="3:8" ht="24.65" customHeight="1">
      <c r="C82" s="5" t="e">
        <f>VLOOKUP($A82, 'Job Data'!$A$2:$P$220,2, FALSE)</f>
        <v>#N/A</v>
      </c>
      <c r="D82" s="5" t="e">
        <f>VLOOKUP($A82, 'Job Data'!$A$2:$P$220,3, FALSE)</f>
        <v>#N/A</v>
      </c>
      <c r="E82" s="5" t="e">
        <f>VLOOKUP($A82, 'Job Data'!$A$2:$P$220,14, FALSE)</f>
        <v>#N/A</v>
      </c>
      <c r="F82" s="1" t="e">
        <f>VLOOKUP($A82, 'Job Data'!$A$2:$P$220,15, FALSE)</f>
        <v>#N/A</v>
      </c>
      <c r="G82" s="16" t="e">
        <f t="shared" si="1"/>
        <v>#N/A</v>
      </c>
      <c r="H82" s="1"/>
    </row>
    <row r="83" spans="3:8" ht="24.65" customHeight="1">
      <c r="C83" s="5" t="e">
        <f>VLOOKUP($A83, 'Job Data'!$A$2:$P$220,2, FALSE)</f>
        <v>#N/A</v>
      </c>
      <c r="D83" s="5" t="e">
        <f>VLOOKUP($A83, 'Job Data'!$A$2:$P$220,3, FALSE)</f>
        <v>#N/A</v>
      </c>
      <c r="E83" s="5" t="e">
        <f>VLOOKUP($A83, 'Job Data'!$A$2:$P$220,14, FALSE)</f>
        <v>#N/A</v>
      </c>
      <c r="F83" s="1" t="e">
        <f>VLOOKUP($A83, 'Job Data'!$A$2:$P$220,15, FALSE)</f>
        <v>#N/A</v>
      </c>
      <c r="G83" s="16" t="e">
        <f t="shared" si="1"/>
        <v>#N/A</v>
      </c>
      <c r="H83" s="1"/>
    </row>
    <row r="84" spans="3:8" ht="24.65" customHeight="1">
      <c r="C84" s="5" t="e">
        <f>VLOOKUP($A84, 'Job Data'!$A$2:$P$220,2, FALSE)</f>
        <v>#N/A</v>
      </c>
      <c r="D84" s="5" t="e">
        <f>VLOOKUP($A84, 'Job Data'!$A$2:$P$220,3, FALSE)</f>
        <v>#N/A</v>
      </c>
      <c r="E84" s="5" t="e">
        <f>VLOOKUP($A84, 'Job Data'!$A$2:$P$220,14, FALSE)</f>
        <v>#N/A</v>
      </c>
      <c r="F84" s="1" t="e">
        <f>VLOOKUP($A84, 'Job Data'!$A$2:$P$220,15, FALSE)</f>
        <v>#N/A</v>
      </c>
      <c r="G84" s="16" t="e">
        <f t="shared" si="1"/>
        <v>#N/A</v>
      </c>
      <c r="H84" s="1"/>
    </row>
    <row r="85" spans="3:8" ht="24.65" customHeight="1">
      <c r="C85" s="5" t="e">
        <f>VLOOKUP($A85, 'Job Data'!$A$2:$P$220,2, FALSE)</f>
        <v>#N/A</v>
      </c>
      <c r="D85" s="5" t="e">
        <f>VLOOKUP($A85, 'Job Data'!$A$2:$P$220,3, FALSE)</f>
        <v>#N/A</v>
      </c>
      <c r="E85" s="5" t="e">
        <f>VLOOKUP($A85, 'Job Data'!$A$2:$P$220,14, FALSE)</f>
        <v>#N/A</v>
      </c>
      <c r="F85" s="1" t="e">
        <f>VLOOKUP($A85, 'Job Data'!$A$2:$P$220,15, FALSE)</f>
        <v>#N/A</v>
      </c>
      <c r="G85" s="16" t="e">
        <f t="shared" si="1"/>
        <v>#N/A</v>
      </c>
      <c r="H85" s="1"/>
    </row>
    <row r="86" spans="3:8" ht="24.65" customHeight="1">
      <c r="C86" s="5" t="e">
        <f>VLOOKUP($A86, 'Job Data'!$A$2:$P$220,2, FALSE)</f>
        <v>#N/A</v>
      </c>
      <c r="D86" s="5" t="e">
        <f>VLOOKUP($A86, 'Job Data'!$A$2:$P$220,3, FALSE)</f>
        <v>#N/A</v>
      </c>
      <c r="E86" s="5" t="e">
        <f>VLOOKUP($A86, 'Job Data'!$A$2:$P$220,14, FALSE)</f>
        <v>#N/A</v>
      </c>
      <c r="F86" s="1" t="e">
        <f>VLOOKUP($A86, 'Job Data'!$A$2:$P$220,15, FALSE)</f>
        <v>#N/A</v>
      </c>
      <c r="G86" s="16" t="e">
        <f t="shared" si="1"/>
        <v>#N/A</v>
      </c>
      <c r="H86" s="1"/>
    </row>
    <row r="87" spans="3:8" ht="24.65" customHeight="1">
      <c r="C87" s="5" t="e">
        <f>VLOOKUP($A87, 'Job Data'!$A$2:$P$220,2, FALSE)</f>
        <v>#N/A</v>
      </c>
      <c r="D87" s="5" t="e">
        <f>VLOOKUP($A87, 'Job Data'!$A$2:$P$220,3, FALSE)</f>
        <v>#N/A</v>
      </c>
      <c r="E87" s="5" t="e">
        <f>VLOOKUP($A87, 'Job Data'!$A$2:$P$220,14, FALSE)</f>
        <v>#N/A</v>
      </c>
      <c r="F87" s="1" t="e">
        <f>VLOOKUP($A87, 'Job Data'!$A$2:$P$220,15, FALSE)</f>
        <v>#N/A</v>
      </c>
      <c r="G87" s="16" t="e">
        <f t="shared" si="1"/>
        <v>#N/A</v>
      </c>
      <c r="H87" s="1"/>
    </row>
    <row r="88" spans="3:8" ht="24.65" customHeight="1">
      <c r="C88" s="5" t="e">
        <f>VLOOKUP($A88, 'Job Data'!$A$2:$P$220,2, FALSE)</f>
        <v>#N/A</v>
      </c>
      <c r="D88" s="5" t="e">
        <f>VLOOKUP($A88, 'Job Data'!$A$2:$P$220,3, FALSE)</f>
        <v>#N/A</v>
      </c>
      <c r="E88" s="5" t="e">
        <f>VLOOKUP($A88, 'Job Data'!$A$2:$P$220,14, FALSE)</f>
        <v>#N/A</v>
      </c>
      <c r="F88" s="1" t="e">
        <f>VLOOKUP($A88, 'Job Data'!$A$2:$P$220,15, FALSE)</f>
        <v>#N/A</v>
      </c>
      <c r="G88" s="16" t="e">
        <f t="shared" si="1"/>
        <v>#N/A</v>
      </c>
      <c r="H88" s="1"/>
    </row>
    <row r="89" spans="3:8" ht="24.65" customHeight="1">
      <c r="C89" s="5" t="e">
        <f>VLOOKUP($A89, 'Job Data'!$A$2:$P$220,2, FALSE)</f>
        <v>#N/A</v>
      </c>
      <c r="D89" s="5" t="e">
        <f>VLOOKUP($A89, 'Job Data'!$A$2:$P$220,3, FALSE)</f>
        <v>#N/A</v>
      </c>
      <c r="E89" s="5" t="e">
        <f>VLOOKUP($A89, 'Job Data'!$A$2:$P$220,14, FALSE)</f>
        <v>#N/A</v>
      </c>
      <c r="F89" s="1" t="e">
        <f>VLOOKUP($A89, 'Job Data'!$A$2:$P$220,15, FALSE)</f>
        <v>#N/A</v>
      </c>
      <c r="G89" s="16" t="e">
        <f t="shared" si="1"/>
        <v>#N/A</v>
      </c>
      <c r="H89" s="1"/>
    </row>
    <row r="90" spans="3:8" ht="24.65" customHeight="1">
      <c r="C90" s="5" t="e">
        <f>VLOOKUP($A90, 'Job Data'!$A$2:$P$220,2, FALSE)</f>
        <v>#N/A</v>
      </c>
      <c r="D90" s="5" t="e">
        <f>VLOOKUP($A90, 'Job Data'!$A$2:$P$220,3, FALSE)</f>
        <v>#N/A</v>
      </c>
      <c r="E90" s="5" t="e">
        <f>VLOOKUP($A90, 'Job Data'!$A$2:$P$220,14, FALSE)</f>
        <v>#N/A</v>
      </c>
      <c r="F90" s="1" t="e">
        <f>VLOOKUP($A90, 'Job Data'!$A$2:$P$220,15, FALSE)</f>
        <v>#N/A</v>
      </c>
      <c r="G90" s="16" t="e">
        <f t="shared" si="1"/>
        <v>#N/A</v>
      </c>
      <c r="H90" s="1"/>
    </row>
    <row r="91" spans="3:8" ht="24.65" customHeight="1">
      <c r="C91" s="5" t="e">
        <f>VLOOKUP($A91, 'Job Data'!$A$2:$P$220,2, FALSE)</f>
        <v>#N/A</v>
      </c>
      <c r="D91" s="5" t="e">
        <f>VLOOKUP($A91, 'Job Data'!$A$2:$P$220,3, FALSE)</f>
        <v>#N/A</v>
      </c>
      <c r="E91" s="5" t="e">
        <f>VLOOKUP($A91, 'Job Data'!$A$2:$P$220,14, FALSE)</f>
        <v>#N/A</v>
      </c>
      <c r="F91" s="1" t="e">
        <f>VLOOKUP($A91, 'Job Data'!$A$2:$P$220,15, FALSE)</f>
        <v>#N/A</v>
      </c>
      <c r="G91" s="16" t="e">
        <f t="shared" si="1"/>
        <v>#N/A</v>
      </c>
      <c r="H91" s="1"/>
    </row>
    <row r="92" spans="3:8" ht="24.65" customHeight="1">
      <c r="C92" s="5" t="e">
        <f>VLOOKUP($A92, 'Job Data'!$A$2:$P$220,2, FALSE)</f>
        <v>#N/A</v>
      </c>
      <c r="D92" s="5" t="e">
        <f>VLOOKUP($A92, 'Job Data'!$A$2:$P$220,3, FALSE)</f>
        <v>#N/A</v>
      </c>
      <c r="E92" s="5" t="e">
        <f>VLOOKUP($A92, 'Job Data'!$A$2:$P$220,14, FALSE)</f>
        <v>#N/A</v>
      </c>
      <c r="F92" s="1" t="e">
        <f>VLOOKUP($A92, 'Job Data'!$A$2:$P$220,15, FALSE)</f>
        <v>#N/A</v>
      </c>
      <c r="G92" s="16" t="e">
        <f t="shared" si="1"/>
        <v>#N/A</v>
      </c>
      <c r="H92" s="1"/>
    </row>
    <row r="93" spans="3:8" ht="24.65" customHeight="1">
      <c r="C93" s="5" t="e">
        <f>VLOOKUP($A93, 'Job Data'!$A$2:$P$220,2, FALSE)</f>
        <v>#N/A</v>
      </c>
      <c r="D93" s="5" t="e">
        <f>VLOOKUP($A93, 'Job Data'!$A$2:$P$220,3, FALSE)</f>
        <v>#N/A</v>
      </c>
      <c r="E93" s="5" t="e">
        <f>VLOOKUP($A93, 'Job Data'!$A$2:$P$220,14, FALSE)</f>
        <v>#N/A</v>
      </c>
      <c r="F93" s="1" t="e">
        <f>VLOOKUP($A93, 'Job Data'!$A$2:$P$220,15, FALSE)</f>
        <v>#N/A</v>
      </c>
      <c r="G93" s="16" t="e">
        <f t="shared" si="1"/>
        <v>#N/A</v>
      </c>
      <c r="H93" s="1"/>
    </row>
    <row r="94" spans="3:8" ht="24.65" customHeight="1">
      <c r="C94" s="5" t="e">
        <f>VLOOKUP($A94, 'Job Data'!$A$2:$P$220,2, FALSE)</f>
        <v>#N/A</v>
      </c>
      <c r="D94" s="5" t="e">
        <f>VLOOKUP($A94, 'Job Data'!$A$2:$P$220,3, FALSE)</f>
        <v>#N/A</v>
      </c>
      <c r="E94" s="5" t="e">
        <f>VLOOKUP($A94, 'Job Data'!$A$2:$P$220,14, FALSE)</f>
        <v>#N/A</v>
      </c>
      <c r="F94" s="1" t="e">
        <f>VLOOKUP($A94, 'Job Data'!$A$2:$P$220,15, FALSE)</f>
        <v>#N/A</v>
      </c>
      <c r="G94" s="16" t="e">
        <f t="shared" si="1"/>
        <v>#N/A</v>
      </c>
      <c r="H94" s="1"/>
    </row>
    <row r="95" spans="3:8" ht="24.65" customHeight="1">
      <c r="C95" s="5" t="e">
        <f>VLOOKUP($A95, 'Job Data'!$A$2:$P$220,2, FALSE)</f>
        <v>#N/A</v>
      </c>
      <c r="D95" s="5" t="e">
        <f>VLOOKUP($A95, 'Job Data'!$A$2:$P$220,3, FALSE)</f>
        <v>#N/A</v>
      </c>
      <c r="E95" s="5" t="e">
        <f>VLOOKUP($A95, 'Job Data'!$A$2:$P$220,14, FALSE)</f>
        <v>#N/A</v>
      </c>
      <c r="F95" s="1" t="e">
        <f>VLOOKUP($A95, 'Job Data'!$A$2:$P$220,15, FALSE)</f>
        <v>#N/A</v>
      </c>
      <c r="G95" s="16" t="e">
        <f t="shared" si="1"/>
        <v>#N/A</v>
      </c>
      <c r="H95" s="1"/>
    </row>
    <row r="96" spans="3:8" ht="24.65" customHeight="1">
      <c r="C96" s="5" t="e">
        <f>VLOOKUP($A96, 'Job Data'!$A$2:$P$220,2, FALSE)</f>
        <v>#N/A</v>
      </c>
      <c r="D96" s="5" t="e">
        <f>VLOOKUP($A96, 'Job Data'!$A$2:$P$220,3, FALSE)</f>
        <v>#N/A</v>
      </c>
      <c r="E96" s="5" t="e">
        <f>VLOOKUP($A96, 'Job Data'!$A$2:$P$220,14, FALSE)</f>
        <v>#N/A</v>
      </c>
      <c r="F96" s="1" t="e">
        <f>VLOOKUP($A96, 'Job Data'!$A$2:$P$220,15, FALSE)</f>
        <v>#N/A</v>
      </c>
      <c r="G96" s="16" t="e">
        <f t="shared" si="1"/>
        <v>#N/A</v>
      </c>
      <c r="H96" s="1"/>
    </row>
    <row r="97" spans="1:8" ht="24.65" customHeight="1">
      <c r="C97" s="5" t="e">
        <f>VLOOKUP($A97, 'Job Data'!$A$2:$P$220,2, FALSE)</f>
        <v>#N/A</v>
      </c>
      <c r="D97" s="5" t="e">
        <f>VLOOKUP($A97, 'Job Data'!$A$2:$P$220,3, FALSE)</f>
        <v>#N/A</v>
      </c>
      <c r="E97" s="5" t="e">
        <f>VLOOKUP($A97, 'Job Data'!$A$2:$P$220,14, FALSE)</f>
        <v>#N/A</v>
      </c>
      <c r="F97" s="1" t="e">
        <f>VLOOKUP($A97, 'Job Data'!$A$2:$P$220,15, FALSE)</f>
        <v>#N/A</v>
      </c>
      <c r="G97" s="16" t="e">
        <f t="shared" si="1"/>
        <v>#N/A</v>
      </c>
      <c r="H97" s="1"/>
    </row>
    <row r="98" spans="1:8" ht="24.65" customHeight="1">
      <c r="A98" s="5"/>
      <c r="B98" s="5"/>
      <c r="C98" s="5" t="e">
        <f>VLOOKUP($A98, 'Job Data'!$A$2:$P$220,2, FALSE)</f>
        <v>#N/A</v>
      </c>
      <c r="D98" s="5" t="e">
        <f>VLOOKUP($A98, 'Job Data'!$A$2:$P$220,3, FALSE)</f>
        <v>#N/A</v>
      </c>
      <c r="E98" s="5" t="e">
        <f>VLOOKUP($A98, 'Job Data'!$A$2:$P$220,14, FALSE)</f>
        <v>#N/A</v>
      </c>
      <c r="F98" s="1" t="e">
        <f>VLOOKUP($A98, 'Job Data'!$A$2:$P$220,15, FALSE)</f>
        <v>#N/A</v>
      </c>
      <c r="G98" s="16" t="e">
        <f t="shared" si="1"/>
        <v>#N/A</v>
      </c>
      <c r="H98" s="1"/>
    </row>
    <row r="99" spans="1:8" ht="24.65" customHeight="1">
      <c r="A99" s="5"/>
      <c r="B99" s="5"/>
      <c r="C99" s="5" t="e">
        <f>VLOOKUP($A99, 'Job Data'!$A$2:$P$220,2, FALSE)</f>
        <v>#N/A</v>
      </c>
      <c r="D99" s="5" t="e">
        <f>VLOOKUP($A99, 'Job Data'!$A$2:$P$220,3, FALSE)</f>
        <v>#N/A</v>
      </c>
      <c r="E99" s="5" t="e">
        <f>VLOOKUP($A99, 'Job Data'!$A$2:$P$220,14, FALSE)</f>
        <v>#N/A</v>
      </c>
      <c r="F99" s="1" t="e">
        <f>VLOOKUP($A99, 'Job Data'!$A$2:$P$220,15, FALSE)</f>
        <v>#N/A</v>
      </c>
      <c r="G99" s="16" t="e">
        <f t="shared" si="1"/>
        <v>#N/A</v>
      </c>
      <c r="H99" s="1"/>
    </row>
    <row r="100" spans="1:8" ht="24.65" customHeight="1">
      <c r="A100" s="5"/>
      <c r="B100" s="5"/>
      <c r="C100" s="5" t="e">
        <f>VLOOKUP($A100, 'Job Data'!$A$2:$P$220,2, FALSE)</f>
        <v>#N/A</v>
      </c>
      <c r="D100" s="5" t="e">
        <f>VLOOKUP($A100, 'Job Data'!$A$2:$P$220,3, FALSE)</f>
        <v>#N/A</v>
      </c>
      <c r="E100" s="5" t="e">
        <f>VLOOKUP($A100, 'Job Data'!$A$2:$P$220,14, FALSE)</f>
        <v>#N/A</v>
      </c>
      <c r="F100" s="1" t="e">
        <f>VLOOKUP($A100, 'Job Data'!$A$2:$P$220,15, FALSE)</f>
        <v>#N/A</v>
      </c>
      <c r="G100" s="16" t="e">
        <f t="shared" si="1"/>
        <v>#N/A</v>
      </c>
      <c r="H100" s="1"/>
    </row>
    <row r="101" spans="1:8" ht="24.65" customHeight="1">
      <c r="A101" s="5"/>
      <c r="B101" s="5"/>
      <c r="C101" s="5" t="e">
        <f>VLOOKUP($A101, 'Job Data'!$A$2:$P$220,2, FALSE)</f>
        <v>#N/A</v>
      </c>
      <c r="D101" s="5" t="e">
        <f>VLOOKUP($A101, 'Job Data'!$A$2:$P$220,3, FALSE)</f>
        <v>#N/A</v>
      </c>
      <c r="E101" s="5" t="e">
        <f>VLOOKUP($A101, 'Job Data'!$A$2:$P$220,14, FALSE)</f>
        <v>#N/A</v>
      </c>
      <c r="F101" s="1" t="e">
        <f>VLOOKUP($A101, 'Job Data'!$A$2:$P$220,15, FALSE)</f>
        <v>#N/A</v>
      </c>
      <c r="G101" s="16" t="e">
        <f t="shared" si="1"/>
        <v>#N/A</v>
      </c>
      <c r="H101" s="1"/>
    </row>
    <row r="102" spans="1:8" ht="24.65" customHeight="1">
      <c r="A102" s="5"/>
      <c r="B102" s="5"/>
      <c r="C102" s="5" t="e">
        <f>VLOOKUP($A102, 'Job Data'!$A$2:$P$220,2, FALSE)</f>
        <v>#N/A</v>
      </c>
      <c r="D102" s="5" t="e">
        <f>VLOOKUP($A102, 'Job Data'!$A$2:$P$220,3, FALSE)</f>
        <v>#N/A</v>
      </c>
      <c r="E102" s="5" t="e">
        <f>VLOOKUP($A102, 'Job Data'!$A$2:$P$220,14, FALSE)</f>
        <v>#N/A</v>
      </c>
      <c r="F102" s="1" t="e">
        <f>VLOOKUP($A102, 'Job Data'!$A$2:$P$220,15, FALSE)</f>
        <v>#N/A</v>
      </c>
      <c r="G102" s="16" t="e">
        <f t="shared" si="1"/>
        <v>#N/A</v>
      </c>
      <c r="H102" s="1"/>
    </row>
    <row r="103" spans="1:8" ht="24.65" customHeight="1">
      <c r="A103" s="5"/>
      <c r="B103" s="5"/>
      <c r="C103" s="5" t="e">
        <f>VLOOKUP($A103, 'Job Data'!$A$2:$P$220,2, FALSE)</f>
        <v>#N/A</v>
      </c>
      <c r="D103" s="5" t="e">
        <f>VLOOKUP($A103, 'Job Data'!$A$2:$P$220,3, FALSE)</f>
        <v>#N/A</v>
      </c>
      <c r="E103" s="5" t="e">
        <f>VLOOKUP($A103, 'Job Data'!$A$2:$P$220,14, FALSE)</f>
        <v>#N/A</v>
      </c>
      <c r="F103" s="1" t="e">
        <f>VLOOKUP($A103, 'Job Data'!$A$2:$P$220,15, FALSE)</f>
        <v>#N/A</v>
      </c>
      <c r="G103" s="16" t="e">
        <f t="shared" si="1"/>
        <v>#N/A</v>
      </c>
      <c r="H103" s="1"/>
    </row>
    <row r="104" spans="1:8" ht="24.65" customHeight="1">
      <c r="A104" s="5"/>
      <c r="B104" s="5"/>
      <c r="C104" s="5" t="e">
        <f>VLOOKUP($A104, 'Job Data'!$A$2:$P$220,2, FALSE)</f>
        <v>#N/A</v>
      </c>
      <c r="D104" s="5" t="e">
        <f>VLOOKUP($A104, 'Job Data'!$A$2:$P$220,3, FALSE)</f>
        <v>#N/A</v>
      </c>
      <c r="E104" s="5" t="e">
        <f>VLOOKUP($A104, 'Job Data'!$A$2:$P$220,14, FALSE)</f>
        <v>#N/A</v>
      </c>
      <c r="F104" s="1" t="e">
        <f>VLOOKUP($A104, 'Job Data'!$A$2:$P$220,15, FALSE)</f>
        <v>#N/A</v>
      </c>
      <c r="G104" s="16" t="e">
        <f t="shared" si="1"/>
        <v>#N/A</v>
      </c>
      <c r="H104" s="1"/>
    </row>
    <row r="105" spans="1:8" ht="24.65" customHeight="1">
      <c r="A105" s="5"/>
      <c r="B105" s="5"/>
      <c r="C105" s="5" t="e">
        <f>VLOOKUP($A105, 'Job Data'!$A$2:$P$220,2, FALSE)</f>
        <v>#N/A</v>
      </c>
      <c r="D105" s="5" t="e">
        <f>VLOOKUP($A105, 'Job Data'!$A$2:$P$220,3, FALSE)</f>
        <v>#N/A</v>
      </c>
      <c r="E105" s="5" t="e">
        <f>VLOOKUP($A105, 'Job Data'!$A$2:$P$220,14, FALSE)</f>
        <v>#N/A</v>
      </c>
      <c r="F105" s="1" t="e">
        <f>VLOOKUP($A105, 'Job Data'!$A$2:$P$220,15, FALSE)</f>
        <v>#N/A</v>
      </c>
      <c r="G105" s="16" t="e">
        <f t="shared" si="1"/>
        <v>#N/A</v>
      </c>
      <c r="H105" s="1"/>
    </row>
    <row r="106" spans="1:8" ht="24.65" customHeight="1">
      <c r="A106" s="5"/>
      <c r="B106" s="5"/>
      <c r="C106" s="5" t="e">
        <f>VLOOKUP($A106, 'Job Data'!$A$2:$P$220,2, FALSE)</f>
        <v>#N/A</v>
      </c>
      <c r="D106" s="5" t="e">
        <f>VLOOKUP($A106, 'Job Data'!$A$2:$P$220,3, FALSE)</f>
        <v>#N/A</v>
      </c>
      <c r="E106" s="5" t="e">
        <f>VLOOKUP($A106, 'Job Data'!$A$2:$P$220,14, FALSE)</f>
        <v>#N/A</v>
      </c>
      <c r="F106" s="1" t="e">
        <f>VLOOKUP($A106, 'Job Data'!$A$2:$P$220,15, FALSE)</f>
        <v>#N/A</v>
      </c>
      <c r="G106" s="16" t="e">
        <f t="shared" si="1"/>
        <v>#N/A</v>
      </c>
      <c r="H106" s="1"/>
    </row>
    <row r="107" spans="1:8" ht="24.65" customHeight="1">
      <c r="A107" s="5"/>
      <c r="B107" s="5"/>
      <c r="C107" s="5" t="e">
        <f>VLOOKUP($A107, 'Job Data'!$A$2:$P$220,2, FALSE)</f>
        <v>#N/A</v>
      </c>
      <c r="D107" s="5" t="e">
        <f>VLOOKUP($A107, 'Job Data'!$A$2:$P$220,3, FALSE)</f>
        <v>#N/A</v>
      </c>
      <c r="E107" s="5" t="e">
        <f>VLOOKUP($A107, 'Job Data'!$A$2:$P$220,14, FALSE)</f>
        <v>#N/A</v>
      </c>
      <c r="F107" s="1" t="e">
        <f>VLOOKUP($A107, 'Job Data'!$A$2:$P$220,15, FALSE)</f>
        <v>#N/A</v>
      </c>
      <c r="G107" s="16" t="e">
        <f t="shared" si="1"/>
        <v>#N/A</v>
      </c>
      <c r="H107" s="1"/>
    </row>
    <row r="108" spans="1:8" ht="24.65" customHeight="1">
      <c r="A108" s="5"/>
      <c r="B108" s="5"/>
      <c r="C108" s="5" t="e">
        <f>VLOOKUP($A108, 'Job Data'!$A$2:$P$220,2, FALSE)</f>
        <v>#N/A</v>
      </c>
      <c r="D108" s="5" t="e">
        <f>VLOOKUP($A108, 'Job Data'!$A$2:$P$220,3, FALSE)</f>
        <v>#N/A</v>
      </c>
      <c r="E108" s="5" t="e">
        <f>VLOOKUP($A108, 'Job Data'!$A$2:$P$220,14, FALSE)</f>
        <v>#N/A</v>
      </c>
      <c r="F108" s="1" t="e">
        <f>VLOOKUP($A108, 'Job Data'!$A$2:$P$220,15, FALSE)</f>
        <v>#N/A</v>
      </c>
      <c r="G108" s="16" t="e">
        <f t="shared" si="1"/>
        <v>#N/A</v>
      </c>
      <c r="H108" s="1"/>
    </row>
    <row r="109" spans="1:8" ht="24.65" customHeight="1">
      <c r="A109" s="5"/>
      <c r="B109" s="5"/>
      <c r="C109" s="5" t="e">
        <f>VLOOKUP($A109, 'Job Data'!$A$2:$P$220,2, FALSE)</f>
        <v>#N/A</v>
      </c>
      <c r="D109" s="5" t="e">
        <f>VLOOKUP($A109, 'Job Data'!$A$2:$P$220,3, FALSE)</f>
        <v>#N/A</v>
      </c>
      <c r="E109" s="5" t="e">
        <f>VLOOKUP($A109, 'Job Data'!$A$2:$P$220,14, FALSE)</f>
        <v>#N/A</v>
      </c>
      <c r="F109" s="1" t="e">
        <f>VLOOKUP($A109, 'Job Data'!$A$2:$P$220,15, FALSE)</f>
        <v>#N/A</v>
      </c>
      <c r="G109" s="16" t="e">
        <f t="shared" si="1"/>
        <v>#N/A</v>
      </c>
      <c r="H109" s="1"/>
    </row>
    <row r="110" spans="1:8" ht="24.65" customHeight="1">
      <c r="A110" s="5"/>
      <c r="B110" s="5"/>
      <c r="C110" s="5" t="e">
        <f>VLOOKUP($A110, 'Job Data'!$A$2:$P$220,2, FALSE)</f>
        <v>#N/A</v>
      </c>
      <c r="D110" s="5" t="e">
        <f>VLOOKUP($A110, 'Job Data'!$A$2:$P$220,3, FALSE)</f>
        <v>#N/A</v>
      </c>
      <c r="E110" s="5" t="e">
        <f>VLOOKUP($A110, 'Job Data'!$A$2:$P$220,14, FALSE)</f>
        <v>#N/A</v>
      </c>
      <c r="F110" s="1" t="e">
        <f>VLOOKUP($A110, 'Job Data'!$A$2:$P$220,15, FALSE)</f>
        <v>#N/A</v>
      </c>
      <c r="G110" s="16" t="e">
        <f t="shared" si="1"/>
        <v>#N/A</v>
      </c>
      <c r="H110" s="1"/>
    </row>
    <row r="111" spans="1:8" ht="24.65" customHeight="1">
      <c r="A111" s="5"/>
      <c r="B111" s="5"/>
      <c r="C111" s="5" t="e">
        <f>VLOOKUP($A111, 'Job Data'!$A$2:$P$220,2, FALSE)</f>
        <v>#N/A</v>
      </c>
      <c r="D111" s="5" t="e">
        <f>VLOOKUP($A111, 'Job Data'!$A$2:$P$220,3, FALSE)</f>
        <v>#N/A</v>
      </c>
      <c r="E111" s="5" t="e">
        <f>VLOOKUP($A111, 'Job Data'!$A$2:$P$220,14, FALSE)</f>
        <v>#N/A</v>
      </c>
      <c r="F111" s="1" t="e">
        <f>VLOOKUP($A111, 'Job Data'!$A$2:$P$220,15, FALSE)</f>
        <v>#N/A</v>
      </c>
      <c r="G111" s="16" t="e">
        <f t="shared" si="1"/>
        <v>#N/A</v>
      </c>
      <c r="H111" s="1"/>
    </row>
    <row r="112" spans="1:8" ht="24.65" customHeight="1">
      <c r="A112" s="5"/>
      <c r="B112" s="5"/>
      <c r="C112" s="5" t="e">
        <f>VLOOKUP($A112, 'Job Data'!$A$2:$P$220,2, FALSE)</f>
        <v>#N/A</v>
      </c>
      <c r="D112" s="5" t="e">
        <f>VLOOKUP($A112, 'Job Data'!$A$2:$P$220,3, FALSE)</f>
        <v>#N/A</v>
      </c>
      <c r="E112" s="5" t="e">
        <f>VLOOKUP($A112, 'Job Data'!$A$2:$P$220,14, FALSE)</f>
        <v>#N/A</v>
      </c>
      <c r="F112" s="1" t="e">
        <f>VLOOKUP($A112, 'Job Data'!$A$2:$P$220,15, FALSE)</f>
        <v>#N/A</v>
      </c>
      <c r="G112" s="16" t="e">
        <f t="shared" si="1"/>
        <v>#N/A</v>
      </c>
      <c r="H112" s="1"/>
    </row>
    <row r="113" spans="1:8" ht="24.65" customHeight="1">
      <c r="A113" s="5"/>
      <c r="B113" s="5"/>
      <c r="C113" s="5" t="e">
        <f>VLOOKUP($A113, 'Job Data'!$A$2:$P$220,2, FALSE)</f>
        <v>#N/A</v>
      </c>
      <c r="D113" s="5" t="e">
        <f>VLOOKUP($A113, 'Job Data'!$A$2:$P$220,3, FALSE)</f>
        <v>#N/A</v>
      </c>
      <c r="E113" s="5" t="e">
        <f>VLOOKUP($A113, 'Job Data'!$A$2:$P$220,14, FALSE)</f>
        <v>#N/A</v>
      </c>
      <c r="F113" s="1" t="e">
        <f>VLOOKUP($A113, 'Job Data'!$A$2:$P$220,15, FALSE)</f>
        <v>#N/A</v>
      </c>
      <c r="G113" s="16" t="e">
        <f t="shared" si="1"/>
        <v>#N/A</v>
      </c>
      <c r="H113" s="1"/>
    </row>
    <row r="114" spans="1:8" ht="24.65" customHeight="1">
      <c r="A114" s="5"/>
      <c r="B114" s="5"/>
      <c r="C114" s="5" t="e">
        <f>VLOOKUP($A114, 'Job Data'!$A$2:$P$220,2, FALSE)</f>
        <v>#N/A</v>
      </c>
      <c r="D114" s="5" t="e">
        <f>VLOOKUP($A114, 'Job Data'!$A$2:$P$220,3, FALSE)</f>
        <v>#N/A</v>
      </c>
      <c r="E114" s="5" t="e">
        <f>VLOOKUP($A114, 'Job Data'!$A$2:$P$220,14, FALSE)</f>
        <v>#N/A</v>
      </c>
      <c r="F114" s="1" t="e">
        <f>VLOOKUP($A114, 'Job Data'!$A$2:$P$220,15, FALSE)</f>
        <v>#N/A</v>
      </c>
      <c r="G114" s="16" t="e">
        <f t="shared" si="1"/>
        <v>#N/A</v>
      </c>
      <c r="H114" s="1"/>
    </row>
    <row r="115" spans="1:8" ht="24.65" customHeight="1">
      <c r="A115" s="5"/>
      <c r="B115" s="5"/>
      <c r="C115" s="5" t="e">
        <f>VLOOKUP($A115, 'Job Data'!$A$2:$P$220,2, FALSE)</f>
        <v>#N/A</v>
      </c>
      <c r="D115" s="5" t="e">
        <f>VLOOKUP($A115, 'Job Data'!$A$2:$P$220,3, FALSE)</f>
        <v>#N/A</v>
      </c>
      <c r="E115" s="5" t="e">
        <f>VLOOKUP($A115, 'Job Data'!$A$2:$P$220,14, FALSE)</f>
        <v>#N/A</v>
      </c>
      <c r="F115" s="1" t="e">
        <f>VLOOKUP($A115, 'Job Data'!$A$2:$P$220,15, FALSE)</f>
        <v>#N/A</v>
      </c>
      <c r="G115" s="16" t="e">
        <f t="shared" si="1"/>
        <v>#N/A</v>
      </c>
      <c r="H115" s="1"/>
    </row>
    <row r="116" spans="1:8" ht="24.65" customHeight="1">
      <c r="A116" s="5"/>
      <c r="B116" s="5"/>
      <c r="C116" s="5" t="e">
        <f>VLOOKUP($A116, 'Job Data'!$A$2:$P$220,2, FALSE)</f>
        <v>#N/A</v>
      </c>
      <c r="D116" s="5" t="e">
        <f>VLOOKUP($A116, 'Job Data'!$A$2:$P$220,3, FALSE)</f>
        <v>#N/A</v>
      </c>
      <c r="E116" s="5" t="e">
        <f>VLOOKUP($A116, 'Job Data'!$A$2:$P$220,14, FALSE)</f>
        <v>#N/A</v>
      </c>
      <c r="F116" s="1" t="e">
        <f>VLOOKUP($A116, 'Job Data'!$A$2:$P$220,15, FALSE)</f>
        <v>#N/A</v>
      </c>
      <c r="G116" s="16" t="e">
        <f t="shared" si="1"/>
        <v>#N/A</v>
      </c>
      <c r="H116" s="1"/>
    </row>
    <row r="117" spans="1:8" ht="24.65" customHeight="1">
      <c r="A117" s="5"/>
      <c r="B117" s="5"/>
      <c r="C117" s="5" t="e">
        <f>VLOOKUP($A117, 'Job Data'!$A$2:$P$220,2, FALSE)</f>
        <v>#N/A</v>
      </c>
      <c r="D117" s="5" t="e">
        <f>VLOOKUP($A117, 'Job Data'!$A$2:$P$220,3, FALSE)</f>
        <v>#N/A</v>
      </c>
      <c r="E117" s="5" t="e">
        <f>VLOOKUP($A117, 'Job Data'!$A$2:$P$220,14, FALSE)</f>
        <v>#N/A</v>
      </c>
      <c r="F117" s="1" t="e">
        <f>VLOOKUP($A117, 'Job Data'!$A$2:$P$220,15, FALSE)</f>
        <v>#N/A</v>
      </c>
      <c r="G117" s="16" t="e">
        <f t="shared" si="1"/>
        <v>#N/A</v>
      </c>
      <c r="H117" s="1"/>
    </row>
    <row r="118" spans="1:8" ht="24.65" customHeight="1">
      <c r="A118" s="5"/>
      <c r="B118" s="5"/>
      <c r="C118" s="5" t="e">
        <f>VLOOKUP($A118, 'Job Data'!$A$2:$P$220,2, FALSE)</f>
        <v>#N/A</v>
      </c>
      <c r="D118" s="5" t="e">
        <f>VLOOKUP($A118, 'Job Data'!$A$2:$P$220,3, FALSE)</f>
        <v>#N/A</v>
      </c>
      <c r="E118" s="5" t="e">
        <f>VLOOKUP($A118, 'Job Data'!$A$2:$P$220,14, FALSE)</f>
        <v>#N/A</v>
      </c>
      <c r="F118" s="1" t="e">
        <f>VLOOKUP($A118, 'Job Data'!$A$2:$P$220,15, FALSE)</f>
        <v>#N/A</v>
      </c>
      <c r="G118" s="16" t="e">
        <f t="shared" si="1"/>
        <v>#N/A</v>
      </c>
      <c r="H118" s="1"/>
    </row>
    <row r="119" spans="1:8" ht="24.65" customHeight="1">
      <c r="A119" s="5"/>
      <c r="B119" s="5"/>
      <c r="C119" s="5" t="e">
        <f>VLOOKUP($A119, 'Job Data'!$A$2:$P$220,2, FALSE)</f>
        <v>#N/A</v>
      </c>
      <c r="D119" s="5" t="e">
        <f>VLOOKUP($A119, 'Job Data'!$A$2:$P$220,3, FALSE)</f>
        <v>#N/A</v>
      </c>
      <c r="E119" s="5" t="e">
        <f>VLOOKUP($A119, 'Job Data'!$A$2:$P$220,14, FALSE)</f>
        <v>#N/A</v>
      </c>
      <c r="F119" s="1" t="e">
        <f>VLOOKUP($A119, 'Job Data'!$A$2:$P$220,15, FALSE)</f>
        <v>#N/A</v>
      </c>
      <c r="G119" s="16" t="e">
        <f t="shared" si="1"/>
        <v>#N/A</v>
      </c>
      <c r="H119" s="1"/>
    </row>
    <row r="120" spans="1:8" ht="24.65" customHeight="1">
      <c r="A120" s="5"/>
      <c r="B120" s="5"/>
      <c r="C120" s="5" t="e">
        <f>VLOOKUP($A120, 'Job Data'!$A$2:$P$220,2, FALSE)</f>
        <v>#N/A</v>
      </c>
      <c r="D120" s="5" t="e">
        <f>VLOOKUP($A120, 'Job Data'!$A$2:$P$220,3, FALSE)</f>
        <v>#N/A</v>
      </c>
      <c r="E120" s="5" t="e">
        <f>VLOOKUP($A120, 'Job Data'!$A$2:$P$220,14, FALSE)</f>
        <v>#N/A</v>
      </c>
      <c r="F120" s="1" t="e">
        <f>VLOOKUP($A120, 'Job Data'!$A$2:$P$220,15, FALSE)</f>
        <v>#N/A</v>
      </c>
      <c r="G120" s="16" t="e">
        <f t="shared" si="1"/>
        <v>#N/A</v>
      </c>
      <c r="H120" s="1"/>
    </row>
    <row r="121" spans="1:8" ht="24.65" customHeight="1">
      <c r="A121" s="5"/>
      <c r="B121" s="5"/>
      <c r="C121" s="5" t="e">
        <f>VLOOKUP($A121, 'Job Data'!$A$2:$P$220,2, FALSE)</f>
        <v>#N/A</v>
      </c>
      <c r="D121" s="5" t="e">
        <f>VLOOKUP($A121, 'Job Data'!$A$2:$P$220,3, FALSE)</f>
        <v>#N/A</v>
      </c>
      <c r="E121" s="5" t="e">
        <f>VLOOKUP($A121, 'Job Data'!$A$2:$P$220,14, FALSE)</f>
        <v>#N/A</v>
      </c>
      <c r="F121" s="1" t="e">
        <f>VLOOKUP($A121, 'Job Data'!$A$2:$P$220,15, FALSE)</f>
        <v>#N/A</v>
      </c>
      <c r="G121" s="16" t="e">
        <f t="shared" si="1"/>
        <v>#N/A</v>
      </c>
      <c r="H121" s="1"/>
    </row>
    <row r="122" spans="1:8" ht="24.65" customHeight="1">
      <c r="A122" s="5"/>
      <c r="B122" s="5"/>
      <c r="C122" s="5" t="e">
        <f>VLOOKUP($A122, 'Job Data'!$A$2:$P$220,2, FALSE)</f>
        <v>#N/A</v>
      </c>
      <c r="D122" s="5" t="e">
        <f>VLOOKUP($A122, 'Job Data'!$A$2:$P$220,3, FALSE)</f>
        <v>#N/A</v>
      </c>
      <c r="E122" s="5" t="e">
        <f>VLOOKUP($A122, 'Job Data'!$A$2:$P$220,14, FALSE)</f>
        <v>#N/A</v>
      </c>
      <c r="F122" s="1" t="e">
        <f>VLOOKUP($A122, 'Job Data'!$A$2:$P$220,15, FALSE)</f>
        <v>#N/A</v>
      </c>
      <c r="G122" s="16" t="e">
        <f t="shared" si="1"/>
        <v>#N/A</v>
      </c>
      <c r="H122" s="1"/>
    </row>
    <row r="123" spans="1:8" ht="24.65" customHeight="1">
      <c r="A123" s="5"/>
      <c r="B123" s="5"/>
      <c r="C123" s="5" t="e">
        <f>VLOOKUP($A123, 'Job Data'!$A$2:$P$220,2, FALSE)</f>
        <v>#N/A</v>
      </c>
      <c r="D123" s="5" t="e">
        <f>VLOOKUP($A123, 'Job Data'!$A$2:$P$220,3, FALSE)</f>
        <v>#N/A</v>
      </c>
      <c r="E123" s="5" t="e">
        <f>VLOOKUP($A123, 'Job Data'!$A$2:$P$220,14, FALSE)</f>
        <v>#N/A</v>
      </c>
      <c r="F123" s="1" t="e">
        <f>VLOOKUP($A123, 'Job Data'!$A$2:$P$220,15, FALSE)</f>
        <v>#N/A</v>
      </c>
      <c r="G123" s="16" t="e">
        <f t="shared" si="1"/>
        <v>#N/A</v>
      </c>
      <c r="H123" s="1"/>
    </row>
    <row r="124" spans="1:8" ht="24.65" customHeight="1">
      <c r="A124" s="5"/>
      <c r="B124" s="5"/>
      <c r="C124" s="5" t="e">
        <f>VLOOKUP($A124, 'Job Data'!$A$2:$P$220,2, FALSE)</f>
        <v>#N/A</v>
      </c>
      <c r="D124" s="5" t="e">
        <f>VLOOKUP($A124, 'Job Data'!$A$2:$P$220,3, FALSE)</f>
        <v>#N/A</v>
      </c>
      <c r="E124" s="5" t="e">
        <f>VLOOKUP($A124, 'Job Data'!$A$2:$P$220,14, FALSE)</f>
        <v>#N/A</v>
      </c>
      <c r="F124" s="1" t="e">
        <f>VLOOKUP($A124, 'Job Data'!$A$2:$P$220,15, FALSE)</f>
        <v>#N/A</v>
      </c>
      <c r="G124" s="16" t="e">
        <f t="shared" si="1"/>
        <v>#N/A</v>
      </c>
      <c r="H124" s="1"/>
    </row>
    <row r="125" spans="1:8">
      <c r="A125" s="1"/>
      <c r="B125" s="1"/>
      <c r="C125" s="1"/>
      <c r="D125" s="1"/>
      <c r="E125" s="1"/>
      <c r="F125" s="1"/>
      <c r="G125" s="12"/>
      <c r="H125" s="1"/>
    </row>
    <row r="126" spans="1:8">
      <c r="A126" s="1"/>
      <c r="B126" s="1"/>
      <c r="C126" s="1"/>
      <c r="D126" s="1"/>
      <c r="E126" s="1"/>
      <c r="F126" s="1"/>
      <c r="G126" s="12"/>
      <c r="H126" s="1"/>
    </row>
    <row r="127" spans="1:8">
      <c r="A127" s="1"/>
      <c r="B127" s="1"/>
      <c r="C127" s="1"/>
      <c r="D127" s="1"/>
      <c r="E127" s="1"/>
      <c r="F127" s="1"/>
      <c r="G127" s="12"/>
      <c r="H127" s="1"/>
    </row>
    <row r="128" spans="1:8">
      <c r="A128" s="1"/>
      <c r="B128" s="1"/>
      <c r="C128" s="1"/>
      <c r="D128" s="1"/>
      <c r="E128" s="1"/>
      <c r="F128" s="1"/>
      <c r="G128" s="12"/>
      <c r="H128" s="1"/>
    </row>
    <row r="129" spans="1:8">
      <c r="A129" s="1"/>
      <c r="B129" s="1"/>
      <c r="C129" s="1"/>
      <c r="D129" s="1"/>
      <c r="E129" s="1"/>
      <c r="F129" s="1"/>
      <c r="G129" s="12"/>
      <c r="H129" s="1"/>
    </row>
    <row r="130" spans="1:8">
      <c r="A130" s="1"/>
      <c r="B130" s="1"/>
      <c r="C130" s="1"/>
      <c r="D130" s="1"/>
      <c r="E130" s="1"/>
      <c r="F130" s="1"/>
      <c r="G130" s="1"/>
      <c r="H130" s="1"/>
    </row>
    <row r="131" spans="1:8">
      <c r="A131" s="1"/>
      <c r="B131" s="1"/>
      <c r="C131" s="1"/>
      <c r="D131" s="1"/>
      <c r="E131" s="1"/>
      <c r="F131" s="1"/>
      <c r="G131" s="1"/>
      <c r="H131" s="1"/>
    </row>
    <row r="132" spans="1:8">
      <c r="A132" s="1"/>
      <c r="B132" s="1"/>
      <c r="C132" s="1"/>
      <c r="D132" s="1"/>
      <c r="E132" s="1"/>
      <c r="F132" s="1"/>
      <c r="G132" s="1"/>
      <c r="H132" s="1"/>
    </row>
    <row r="133" spans="1:8">
      <c r="A133" s="1"/>
      <c r="B133" s="1"/>
      <c r="C133" s="1"/>
      <c r="D133" s="1"/>
      <c r="E133" s="1"/>
      <c r="F133" s="1"/>
      <c r="G133" s="1"/>
      <c r="H133" s="1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94762-8D4A-414A-A310-EFD0554DC987}">
  <sheetPr codeName="Sheet6"/>
  <dimension ref="A1:H133"/>
  <sheetViews>
    <sheetView topLeftCell="A16" zoomScale="80" zoomScaleNormal="80" workbookViewId="0">
      <selection activeCell="E7" sqref="E7"/>
    </sheetView>
  </sheetViews>
  <sheetFormatPr defaultRowHeight="14.5"/>
  <cols>
    <col min="1" max="1" width="19.453125" bestFit="1" customWidth="1"/>
    <col min="2" max="2" width="18.453125" bestFit="1" customWidth="1"/>
    <col min="3" max="3" width="26.453125" customWidth="1"/>
    <col min="4" max="4" width="37.453125" customWidth="1"/>
    <col min="5" max="5" width="50.453125" customWidth="1"/>
    <col min="6" max="6" width="37.1796875" hidden="1" customWidth="1"/>
    <col min="7" max="7" width="83" customWidth="1"/>
    <col min="8" max="8" width="19.453125" bestFit="1" customWidth="1"/>
    <col min="9" max="9" width="18.453125" bestFit="1" customWidth="1"/>
    <col min="10" max="10" width="37.1796875" bestFit="1" customWidth="1"/>
    <col min="11" max="11" width="13.453125" bestFit="1" customWidth="1"/>
    <col min="12" max="12" width="21" bestFit="1" customWidth="1"/>
    <col min="13" max="13" width="20.1796875" bestFit="1" customWidth="1"/>
    <col min="14" max="14" width="12" bestFit="1" customWidth="1"/>
    <col min="15" max="15" width="21.1796875" bestFit="1" customWidth="1"/>
    <col min="16" max="16" width="7.81640625" bestFit="1" customWidth="1"/>
    <col min="17" max="17" width="11.453125" bestFit="1" customWidth="1"/>
    <col min="18" max="18" width="29.453125" bestFit="1" customWidth="1"/>
    <col min="19" max="19" width="27.81640625" bestFit="1" customWidth="1"/>
    <col min="20" max="20" width="31.453125" bestFit="1" customWidth="1"/>
    <col min="21" max="21" width="14.453125" bestFit="1" customWidth="1"/>
    <col min="22" max="22" width="21.1796875" bestFit="1" customWidth="1"/>
    <col min="23" max="23" width="14.453125" bestFit="1" customWidth="1"/>
    <col min="24" max="24" width="10.453125" bestFit="1" customWidth="1"/>
    <col min="25" max="25" width="9.453125" bestFit="1" customWidth="1"/>
    <col min="26" max="26" width="7.1796875" bestFit="1" customWidth="1"/>
    <col min="27" max="27" width="6.453125" bestFit="1" customWidth="1"/>
    <col min="28" max="28" width="4.1796875" bestFit="1" customWidth="1"/>
    <col min="29" max="29" width="11.453125" bestFit="1" customWidth="1"/>
    <col min="30" max="30" width="17.453125" bestFit="1" customWidth="1"/>
    <col min="31" max="31" width="5" bestFit="1" customWidth="1"/>
    <col min="32" max="32" width="7.1796875" bestFit="1" customWidth="1"/>
    <col min="33" max="33" width="8.1796875" bestFit="1" customWidth="1"/>
    <col min="34" max="35" width="9.453125" bestFit="1" customWidth="1"/>
    <col min="36" max="36" width="7.1796875" bestFit="1" customWidth="1"/>
    <col min="37" max="37" width="6.453125" bestFit="1" customWidth="1"/>
    <col min="38" max="38" width="4.1796875" bestFit="1" customWidth="1"/>
    <col min="39" max="39" width="11.453125" bestFit="1" customWidth="1"/>
    <col min="40" max="40" width="15.81640625" bestFit="1" customWidth="1"/>
    <col min="41" max="41" width="5" bestFit="1" customWidth="1"/>
    <col min="42" max="42" width="7.1796875" bestFit="1" customWidth="1"/>
    <col min="43" max="43" width="8.1796875" bestFit="1" customWidth="1"/>
    <col min="44" max="45" width="9.453125" bestFit="1" customWidth="1"/>
    <col min="46" max="46" width="7.1796875" bestFit="1" customWidth="1"/>
    <col min="47" max="47" width="6.453125" bestFit="1" customWidth="1"/>
    <col min="48" max="48" width="4.1796875" bestFit="1" customWidth="1"/>
    <col min="49" max="49" width="11.453125" bestFit="1" customWidth="1"/>
    <col min="50" max="50" width="15.81640625" bestFit="1" customWidth="1"/>
    <col min="51" max="51" width="5" bestFit="1" customWidth="1"/>
    <col min="52" max="52" width="7.1796875" bestFit="1" customWidth="1"/>
    <col min="53" max="53" width="8.1796875" bestFit="1" customWidth="1"/>
    <col min="54" max="55" width="9.453125" bestFit="1" customWidth="1"/>
    <col min="56" max="56" width="7.1796875" bestFit="1" customWidth="1"/>
    <col min="57" max="57" width="6.453125" bestFit="1" customWidth="1"/>
    <col min="58" max="58" width="4.1796875" bestFit="1" customWidth="1"/>
    <col min="59" max="59" width="11.453125" bestFit="1" customWidth="1"/>
    <col min="60" max="60" width="40.81640625" bestFit="1" customWidth="1"/>
    <col min="61" max="61" width="43.453125" bestFit="1" customWidth="1"/>
    <col min="62" max="62" width="18.453125" bestFit="1" customWidth="1"/>
    <col min="63" max="63" width="22.1796875" bestFit="1" customWidth="1"/>
    <col min="64" max="64" width="19.453125" bestFit="1" customWidth="1"/>
    <col min="65" max="65" width="20.453125" bestFit="1" customWidth="1"/>
    <col min="66" max="124" width="38.81640625" bestFit="1" customWidth="1"/>
    <col min="125" max="125" width="40.81640625" bestFit="1" customWidth="1"/>
    <col min="126" max="126" width="43.453125" bestFit="1" customWidth="1"/>
    <col min="127" max="127" width="18.453125" bestFit="1" customWidth="1"/>
    <col min="128" max="128" width="22.1796875" bestFit="1" customWidth="1"/>
    <col min="129" max="129" width="19.453125" bestFit="1" customWidth="1"/>
    <col min="130" max="130" width="20.453125" bestFit="1" customWidth="1"/>
    <col min="131" max="256" width="38.81640625" bestFit="1" customWidth="1"/>
    <col min="257" max="257" width="40.81640625" bestFit="1" customWidth="1"/>
    <col min="258" max="258" width="43.453125" bestFit="1" customWidth="1"/>
    <col min="259" max="259" width="18.453125" bestFit="1" customWidth="1"/>
    <col min="260" max="260" width="22.1796875" bestFit="1" customWidth="1"/>
    <col min="261" max="261" width="19.453125" bestFit="1" customWidth="1"/>
    <col min="262" max="263" width="20.453125" bestFit="1" customWidth="1"/>
  </cols>
  <sheetData>
    <row r="1" spans="1:8" ht="30" customHeight="1">
      <c r="A1" s="23" t="s">
        <v>8</v>
      </c>
      <c r="B1" s="22" t="s">
        <v>27</v>
      </c>
    </row>
    <row r="2" spans="1:8" ht="30" customHeight="1">
      <c r="A2" s="23" t="s">
        <v>5</v>
      </c>
      <c r="B2" s="22" t="s">
        <v>193</v>
      </c>
    </row>
    <row r="3" spans="1:8" ht="30" customHeight="1">
      <c r="A3" s="23" t="s">
        <v>2</v>
      </c>
      <c r="B3" s="22" t="s">
        <v>193</v>
      </c>
    </row>
    <row r="4" spans="1:8" ht="30" customHeight="1">
      <c r="A4" s="23" t="s">
        <v>3</v>
      </c>
      <c r="B4" s="22" t="s">
        <v>193</v>
      </c>
    </row>
    <row r="6" spans="1:8" ht="30.65" customHeight="1">
      <c r="A6" s="20" t="s">
        <v>194</v>
      </c>
      <c r="B6" s="21" t="s">
        <v>195</v>
      </c>
      <c r="C6" s="17" t="s">
        <v>2</v>
      </c>
      <c r="D6" s="17" t="s">
        <v>3</v>
      </c>
      <c r="E6" s="17" t="s">
        <v>14</v>
      </c>
      <c r="G6" s="15"/>
    </row>
    <row r="7" spans="1:8" ht="24.65" customHeight="1">
      <c r="A7" s="24" t="s">
        <v>196</v>
      </c>
      <c r="B7" s="24">
        <v>1</v>
      </c>
      <c r="C7" s="7" t="str">
        <f>VLOOKUP($A7, 'Job Data'!$A$2:$P$220,2, FALSE)</f>
        <v>SIMEC</v>
      </c>
      <c r="D7" s="7" t="str">
        <f>VLOOKUP($A7, 'Job Data'!$A$2:$P$220,3, FALSE)</f>
        <v>MEP 1</v>
      </c>
      <c r="E7" s="7" t="str">
        <f>VLOOKUP($A7, 'Job Data'!$A$2:$P$220,14, FALSE)</f>
        <v>AC0001 General Inquiry</v>
      </c>
      <c r="F7" s="1" t="str">
        <f>VLOOKUP($A7, 'Job Data'!$A$2:$P$220,15, FALSE)</f>
        <v>C:\Users\wubia\OneDrive - Longi Magnet Australia Pty ltd\Documents - Longi Australia\03 Project Management\Client\SIMEC\MEP 1\AC0001 General Inquiry</v>
      </c>
      <c r="G7" s="16" t="str">
        <f>HYPERLINK(SUBSTITUTE(SUBSTITUTE(F7, "C:\Users\wubia\OneDrive - Longi Magnet Australia Pty ltd\Documents - Longi Australia", "C:\Users\Sammi\Longi Magnet Australia Pty ltd\Longi Australia - Documents"), "\\", "\\"),"Open Project Folder")</f>
        <v>Open Project Folder</v>
      </c>
      <c r="H7" s="1"/>
    </row>
    <row r="8" spans="1:8" ht="24.65" customHeight="1">
      <c r="A8" s="24" t="s">
        <v>197</v>
      </c>
      <c r="B8" s="24">
        <v>1</v>
      </c>
      <c r="C8" s="7" t="str">
        <f>VLOOKUP($A8, 'Job Data'!$A$2:$P$220,2, FALSE)</f>
        <v>SIMEC</v>
      </c>
      <c r="D8" s="7" t="str">
        <f>VLOOKUP($A8, 'Job Data'!$A$2:$P$220,3, FALSE)</f>
        <v>MEP 2</v>
      </c>
      <c r="E8" s="7" t="str">
        <f>VLOOKUP($A8, 'Job Data'!$A$2:$P$220,14, FALSE)</f>
        <v>AC0002 General Inquiry</v>
      </c>
      <c r="F8" s="1" t="str">
        <f>VLOOKUP($A8, 'Job Data'!$A$2:$P$220,15, FALSE)</f>
        <v>C:\Users\wubia\OneDrive - Longi Magnet Australia Pty ltd\Documents - Longi Australia\03 Project Management\Client\SIMEC\MEP 2\AC0002 General Inquiry</v>
      </c>
      <c r="G8" s="16" t="str">
        <f t="shared" ref="G8:G71" si="0">HYPERLINK(SUBSTITUTE(SUBSTITUTE(F8, "C:\Users\wubia\OneDrive - Longi Magnet Australia Pty ltd\Documents - Longi Australia", "C:\Users\Sammi\Longi Magnet Australia Pty ltd\Longi Australia - Documents"), "\\", "\\"),"Open Project Folder")</f>
        <v>Open Project Folder</v>
      </c>
      <c r="H8" s="1"/>
    </row>
    <row r="9" spans="1:8" ht="24.65" customHeight="1">
      <c r="A9" s="24" t="s">
        <v>198</v>
      </c>
      <c r="B9" s="24">
        <v>1</v>
      </c>
      <c r="C9" s="7" t="str">
        <f>VLOOKUP($A9, 'Job Data'!$A$2:$P$220,2, FALSE)</f>
        <v>SIMEC</v>
      </c>
      <c r="D9" s="7" t="str">
        <f>VLOOKUP($A9, 'Job Data'!$A$2:$P$220,3, FALSE)</f>
        <v>MEP 3</v>
      </c>
      <c r="E9" s="7" t="str">
        <f>VLOOKUP($A9, 'Job Data'!$A$2:$P$220,14, FALSE)</f>
        <v>AC0003 General Inquiry</v>
      </c>
      <c r="F9" s="1" t="str">
        <f>VLOOKUP($A9, 'Job Data'!$A$2:$P$220,15, FALSE)</f>
        <v>C:\Users\wubia\OneDrive - Longi Magnet Australia Pty ltd\Documents - Longi Australia\03 Project Management\Client\SIMEC\MEP 3\AC0003 General Inquiry</v>
      </c>
      <c r="G9" s="16" t="str">
        <f t="shared" si="0"/>
        <v>Open Project Folder</v>
      </c>
      <c r="H9" s="1"/>
    </row>
    <row r="10" spans="1:8" ht="24.65" customHeight="1">
      <c r="A10" s="24" t="s">
        <v>199</v>
      </c>
      <c r="B10" s="24">
        <v>1</v>
      </c>
      <c r="C10" s="7" t="str">
        <f>VLOOKUP($A10, 'Job Data'!$A$2:$P$220,2, FALSE)</f>
        <v>Young_Steel</v>
      </c>
      <c r="D10" s="7" t="str">
        <f>VLOOKUP($A10, 'Job Data'!$A$2:$P$220,3, FALSE)</f>
        <v>Snaefell</v>
      </c>
      <c r="E10" s="7" t="str">
        <f>VLOOKUP($A10, 'Job Data'!$A$2:$P$220,14, FALSE)</f>
        <v>AC0006 General Inquiry</v>
      </c>
      <c r="F10" s="1" t="str">
        <f>VLOOKUP($A10, 'Job Data'!$A$2:$P$220,15, FALSE)</f>
        <v>C:\Users\wubia\OneDrive - Longi Magnet Australia Pty ltd\Documents - Longi Australia\03 Project Management\Client\Young_Steel\Snaefell\AC0006 General Inquiry</v>
      </c>
      <c r="G10" s="16" t="str">
        <f t="shared" si="0"/>
        <v>Open Project Folder</v>
      </c>
      <c r="H10" s="1"/>
    </row>
    <row r="11" spans="1:8" ht="24.65" customHeight="1">
      <c r="A11" s="24" t="s">
        <v>200</v>
      </c>
      <c r="B11" s="24">
        <v>1</v>
      </c>
      <c r="C11" s="7" t="str">
        <f>VLOOKUP($A11, 'Job Data'!$A$2:$P$220,2, FALSE)</f>
        <v>Athenas_Reource</v>
      </c>
      <c r="D11" s="7" t="str">
        <f>VLOOKUP($A11, 'Job Data'!$A$2:$P$220,3, FALSE)</f>
        <v>Byro</v>
      </c>
      <c r="E11" s="7" t="str">
        <f>VLOOKUP($A11, 'Job Data'!$A$2:$P$220,14, FALSE)</f>
        <v>AC0008 General Inquiry</v>
      </c>
      <c r="F11" s="1" t="str">
        <f>VLOOKUP($A11, 'Job Data'!$A$2:$P$220,15, FALSE)</f>
        <v>C:\Users\wubia\OneDrive - Longi Magnet Australia Pty ltd\Documents - Longi Australia\03 Project Management\Client\Athenas_Reource\Byro\AC0008 General Inquiry</v>
      </c>
      <c r="G11" s="16" t="str">
        <f t="shared" si="0"/>
        <v>Open Project Folder</v>
      </c>
      <c r="H11" s="1"/>
    </row>
    <row r="12" spans="1:8" ht="24.65" customHeight="1">
      <c r="A12" s="24" t="s">
        <v>201</v>
      </c>
      <c r="B12" s="24">
        <v>1</v>
      </c>
      <c r="C12" s="7" t="str">
        <f>VLOOKUP($A12, 'Job Data'!$A$2:$P$220,2, FALSE)</f>
        <v>FMG</v>
      </c>
      <c r="D12" s="7" t="str">
        <f>VLOOKUP($A12, 'Job Data'!$A$2:$P$220,3, FALSE)</f>
        <v>Christmas Creek </v>
      </c>
      <c r="E12" s="7" t="str">
        <f>VLOOKUP($A12, 'Job Data'!$A$2:$P$220,14, FALSE)</f>
        <v>AP0001 Spare Parts</v>
      </c>
      <c r="F12" s="1" t="str">
        <f>VLOOKUP($A12, 'Job Data'!$A$2:$P$220,15, FALSE)</f>
        <v>C:\Users\wubia\OneDrive - Longi Magnet Australia Pty ltd\Documents - Longi Australia\03 Project Management\Client\FMG\Christmas Creek \AP0001 Spare Parts</v>
      </c>
      <c r="G12" s="16" t="str">
        <f t="shared" si="0"/>
        <v>Open Project Folder</v>
      </c>
      <c r="H12" s="1"/>
    </row>
    <row r="13" spans="1:8" ht="24.65" customHeight="1">
      <c r="A13" s="24" t="s">
        <v>202</v>
      </c>
      <c r="B13" s="24">
        <v>1</v>
      </c>
      <c r="C13" s="7" t="str">
        <f>VLOOKUP($A13, 'Job Data'!$A$2:$P$220,2, FALSE)</f>
        <v>Grange</v>
      </c>
      <c r="D13" s="7" t="str">
        <f>VLOOKUP($A13, 'Job Data'!$A$2:$P$220,3, FALSE)</f>
        <v>Savage River</v>
      </c>
      <c r="E13" s="7" t="str">
        <f>VLOOKUP($A13, 'Job Data'!$A$2:$P$220,14, FALSE)</f>
        <v>AQ0001 LJC testline</v>
      </c>
      <c r="F13" s="1" t="str">
        <f>VLOOKUP($A13, 'Job Data'!$A$2:$P$220,15, FALSE)</f>
        <v>C:\Users\wubia\OneDrive - Longi Magnet Australia Pty ltd\Documents - Longi Australia\03 Project Management\Client\Grange\Savage River\AQ0001 LJC testline</v>
      </c>
      <c r="G13" s="16" t="str">
        <f t="shared" si="0"/>
        <v>Open Project Folder</v>
      </c>
      <c r="H13" s="1"/>
    </row>
    <row r="14" spans="1:8" ht="24.65" customHeight="1">
      <c r="A14" s="24" t="s">
        <v>203</v>
      </c>
      <c r="B14" s="24">
        <v>1</v>
      </c>
      <c r="C14" s="7" t="str">
        <f>VLOOKUP($A14, 'Job Data'!$A$2:$P$220,2, FALSE)</f>
        <v>KUREEM</v>
      </c>
      <c r="D14" s="7" t="str">
        <f>VLOOKUP($A14, 'Job Data'!$A$2:$P$220,3, FALSE)</f>
        <v>KUREEM</v>
      </c>
      <c r="E14" s="7" t="str">
        <f>VLOOKUP($A14, 'Job Data'!$A$2:$P$220,14, FALSE)</f>
        <v>AQ0003 KUREEM Project Pilot Plant</v>
      </c>
      <c r="F14" s="1" t="str">
        <f>VLOOKUP($A14, 'Job Data'!$A$2:$P$220,15, FALSE)</f>
        <v>C:\Users\wubia\OneDrive - Longi Magnet Australia Pty ltd\Documents - Longi Australia\03 Project Management\Client\KUREEM\KUREEM\AQ0003 KUREEM Project Pilot Plant</v>
      </c>
      <c r="G14" s="16" t="str">
        <f t="shared" si="0"/>
        <v>Open Project Folder</v>
      </c>
      <c r="H14" s="1"/>
    </row>
    <row r="15" spans="1:8" ht="24.65" customHeight="1">
      <c r="A15" s="24" t="s">
        <v>204</v>
      </c>
      <c r="B15" s="24">
        <v>1</v>
      </c>
      <c r="C15" s="7" t="str">
        <f>VLOOKUP($A15, 'Job Data'!$A$2:$P$220,2, FALSE)</f>
        <v>KUREEM</v>
      </c>
      <c r="D15" s="7" t="str">
        <f>VLOOKUP($A15, 'Job Data'!$A$2:$P$220,3, FALSE)</f>
        <v>KUREEM</v>
      </c>
      <c r="E15" s="7" t="str">
        <f>VLOOKUP($A15, 'Job Data'!$A$2:$P$220,14, FALSE)</f>
        <v>AQ0004 KUREEM Project FS</v>
      </c>
      <c r="F15" s="1" t="str">
        <f>VLOOKUP($A15, 'Job Data'!$A$2:$P$220,15, FALSE)</f>
        <v>C:\Users\wubia\OneDrive - Longi Magnet Australia Pty ltd\Documents - Longi Australia\03 Project Management\Client\KUREEM\KUREEM\AQ0004 KUREEM Project FS</v>
      </c>
      <c r="G15" s="16" t="str">
        <f t="shared" si="0"/>
        <v>Open Project Folder</v>
      </c>
      <c r="H15" s="1"/>
    </row>
    <row r="16" spans="1:8" ht="24.65" customHeight="1">
      <c r="A16" s="24" t="s">
        <v>205</v>
      </c>
      <c r="B16" s="24">
        <v>1</v>
      </c>
      <c r="C16" s="7" t="str">
        <f>VLOOKUP($A16, 'Job Data'!$A$2:$P$220,2, FALSE)</f>
        <v>FMG</v>
      </c>
      <c r="D16" s="7" t="str">
        <f>VLOOKUP($A16, 'Job Data'!$A$2:$P$220,3, FALSE)</f>
        <v>Iron Bridge</v>
      </c>
      <c r="E16" s="7" t="str">
        <f>VLOOKUP($A16, 'Job Data'!$A$2:$P$220,14, FALSE)</f>
        <v>AQ0005 IB Spray bar</v>
      </c>
      <c r="F16" s="1" t="str">
        <f>VLOOKUP($A16, 'Job Data'!$A$2:$P$220,15, FALSE)</f>
        <v>C:\Users\wubia\OneDrive - Longi Magnet Australia Pty ltd\Documents - Longi Australia\03 Project Management\Client\FMG\Iron Bridge\AQ0005 IB Spray bar</v>
      </c>
      <c r="G16" s="16" t="str">
        <f t="shared" si="0"/>
        <v>Open Project Folder</v>
      </c>
      <c r="H16" s="1"/>
    </row>
    <row r="17" spans="1:8" ht="24.65" customHeight="1">
      <c r="A17" s="24" t="s">
        <v>206</v>
      </c>
      <c r="B17" s="24">
        <v>1</v>
      </c>
      <c r="C17" s="7" t="str">
        <f>VLOOKUP($A17, 'Job Data'!$A$2:$P$220,2, FALSE)</f>
        <v>SIMEC</v>
      </c>
      <c r="D17" s="7" t="str">
        <f>VLOOKUP($A17, 'Job Data'!$A$2:$P$220,3, FALSE)</f>
        <v>MEP 1</v>
      </c>
      <c r="E17" s="7" t="str">
        <f>VLOOKUP($A17, 'Job Data'!$A$2:$P$220,14, FALSE)</f>
        <v>AQ0008 SIMEC Wet Plant</v>
      </c>
      <c r="F17" s="1" t="str">
        <f>VLOOKUP($A17, 'Job Data'!$A$2:$P$220,15, FALSE)</f>
        <v>C:\Users\wubia\OneDrive - Longi Magnet Australia Pty ltd\Documents - Longi Australia\03 Project Management\Client\SIMEC\MEP 1\AQ0008 SIMEC Wet Plant</v>
      </c>
      <c r="G17" s="16" t="str">
        <f t="shared" si="0"/>
        <v>Open Project Folder</v>
      </c>
      <c r="H17" s="1"/>
    </row>
    <row r="18" spans="1:8" ht="24.65" customHeight="1">
      <c r="A18" s="24" t="s">
        <v>207</v>
      </c>
      <c r="B18" s="24">
        <v>1</v>
      </c>
      <c r="C18" s="7" t="str">
        <f>VLOOKUP($A18, 'Job Data'!$A$2:$P$220,2, FALSE)</f>
        <v>SIMEC</v>
      </c>
      <c r="D18" s="7" t="str">
        <f>VLOOKUP($A18, 'Job Data'!$A$2:$P$220,3, FALSE)</f>
        <v>MEP 1</v>
      </c>
      <c r="E18" s="7" t="str">
        <f>VLOOKUP($A18, 'Job Data'!$A$2:$P$220,14, FALSE)</f>
        <v>AQ0009 SIMEC Dry Plant</v>
      </c>
      <c r="F18" s="1" t="str">
        <f>VLOOKUP($A18, 'Job Data'!$A$2:$P$220,15, FALSE)</f>
        <v>C:\Users\wubia\OneDrive - Longi Magnet Australia Pty ltd\Documents - Longi Australia\03 Project Management\Client\SIMEC\MEP 1\AQ0009 SIMEC Dry Plant</v>
      </c>
      <c r="G18" s="16" t="str">
        <f t="shared" si="0"/>
        <v>Open Project Folder</v>
      </c>
      <c r="H18" s="1"/>
    </row>
    <row r="19" spans="1:8" ht="24.65" customHeight="1">
      <c r="A19" s="24" t="s">
        <v>208</v>
      </c>
      <c r="B19" s="24">
        <v>1</v>
      </c>
      <c r="C19" s="7" t="str">
        <f>VLOOKUP($A19, 'Job Data'!$A$2:$P$220,2, FALSE)</f>
        <v>FMG</v>
      </c>
      <c r="D19" s="7" t="str">
        <f>VLOOKUP($A19, 'Job Data'!$A$2:$P$220,3, FALSE)</f>
        <v>Iron Bridge</v>
      </c>
      <c r="E19" s="7" t="str">
        <f>VLOOKUP($A19, 'Job Data'!$A$2:$P$220,14, FALSE)</f>
        <v>AQ0012 dewater drum replacement</v>
      </c>
      <c r="F19" s="1" t="str">
        <f>VLOOKUP($A19, 'Job Data'!$A$2:$P$220,15, FALSE)</f>
        <v>C:\Users\wubia\OneDrive - Longi Magnet Australia Pty ltd\Documents - Longi Australia\03 Project Management\Client\FMG\Iron Bridge\AQ0012 dewater drum replacement</v>
      </c>
      <c r="G19" s="16" t="str">
        <f t="shared" si="0"/>
        <v>Open Project Folder</v>
      </c>
      <c r="H19" s="1"/>
    </row>
    <row r="20" spans="1:8" ht="24.65" customHeight="1">
      <c r="A20" s="24" t="s">
        <v>209</v>
      </c>
      <c r="B20" s="24">
        <v>1</v>
      </c>
      <c r="C20" s="7" t="str">
        <f>VLOOKUP($A20, 'Job Data'!$A$2:$P$220,2, FALSE)</f>
        <v>Grange</v>
      </c>
      <c r="D20" s="7" t="str">
        <f>VLOOKUP($A20, 'Job Data'!$A$2:$P$220,3, FALSE)</f>
        <v>Southdown</v>
      </c>
      <c r="E20" s="7" t="str">
        <f>VLOOKUP($A20, 'Job Data'!$A$2:$P$220,14, FALSE)</f>
        <v>AQ0013 DRY+WET new plant</v>
      </c>
      <c r="F20" s="1" t="str">
        <f>VLOOKUP($A20, 'Job Data'!$A$2:$P$220,15, FALSE)</f>
        <v>C:\Users\wubia\OneDrive - Longi Magnet Australia Pty ltd\Documents - Longi Australia\03 Project Management\Client\Grange\Southdown\AQ0013 DRY+WET new plant</v>
      </c>
      <c r="G20" s="16" t="str">
        <f t="shared" si="0"/>
        <v>Open Project Folder</v>
      </c>
      <c r="H20" s="1"/>
    </row>
    <row r="21" spans="1:8" ht="24.65" customHeight="1">
      <c r="A21" s="24" t="s">
        <v>210</v>
      </c>
      <c r="B21" s="24">
        <v>1</v>
      </c>
      <c r="C21" s="7" t="str">
        <f>VLOOKUP($A21, 'Job Data'!$A$2:$P$220,2, FALSE)</f>
        <v>TBA</v>
      </c>
      <c r="D21" s="7" t="str">
        <f>VLOOKUP($A21, 'Job Data'!$A$2:$P$220,3, FALSE)</f>
        <v>TBA 1</v>
      </c>
      <c r="E21" s="7" t="str">
        <f>VLOOKUP($A21, 'Job Data'!$A$2:$P$220,14, FALSE)</f>
        <v>AQ0014 LIMS+WHIMS</v>
      </c>
      <c r="F21" s="1" t="str">
        <f>VLOOKUP($A21, 'Job Data'!$A$2:$P$220,15, FALSE)</f>
        <v>C:\Users\wubia\OneDrive - Longi Magnet Australia Pty ltd\Documents - Longi Australia\03 Project Management\Client\TBA\TBA 1\AQ0014 LIMS+WHIMS</v>
      </c>
      <c r="G21" s="16" t="str">
        <f t="shared" si="0"/>
        <v>Open Project Folder</v>
      </c>
      <c r="H21" s="1"/>
    </row>
    <row r="22" spans="1:8" ht="24.65" customHeight="1">
      <c r="A22" s="24" t="s">
        <v>211</v>
      </c>
      <c r="B22" s="24">
        <v>1</v>
      </c>
      <c r="C22" s="7" t="str">
        <f>VLOOKUP($A22, 'Job Data'!$A$2:$P$220,2, FALSE)</f>
        <v>PeakRE</v>
      </c>
      <c r="D22" s="7" t="str">
        <f>VLOOKUP($A22, 'Job Data'!$A$2:$P$220,3, FALSE)</f>
        <v>Ngualla</v>
      </c>
      <c r="E22" s="7" t="str">
        <f>VLOOKUP($A22, 'Job Data'!$A$2:$P$220,14, FALSE)</f>
        <v>AT0002 WHIMS Testwork</v>
      </c>
      <c r="F22" s="1" t="str">
        <f>VLOOKUP($A22, 'Job Data'!$A$2:$P$220,15, FALSE)</f>
        <v>C:\Users\wubia\OneDrive - Longi Magnet Australia Pty ltd\Documents - Longi Australia\03 Project Management\Client\PeakRE\Ngualla\AT0002 WHIMS Testwork</v>
      </c>
      <c r="G22" s="16" t="str">
        <f t="shared" si="0"/>
        <v>Open Project Folder</v>
      </c>
      <c r="H22" s="1"/>
    </row>
    <row r="23" spans="1:8" ht="24.65" customHeight="1">
      <c r="A23" s="24" t="s">
        <v>212</v>
      </c>
      <c r="B23" s="24">
        <v>1</v>
      </c>
      <c r="C23" s="7" t="str">
        <f>VLOOKUP($A23, 'Job Data'!$A$2:$P$220,2, FALSE)</f>
        <v>Ladestone</v>
      </c>
      <c r="D23" s="7" t="str">
        <f>VLOOKUP($A23, 'Job Data'!$A$2:$P$220,3, FALSE)</f>
        <v>Baremar</v>
      </c>
      <c r="E23" s="7" t="str">
        <f>VLOOKUP($A23, 'Job Data'!$A$2:$P$220,14, FALSE)</f>
        <v>AT0006  Developing Plant</v>
      </c>
      <c r="F23" s="1" t="str">
        <f>VLOOKUP($A23, 'Job Data'!$A$2:$P$220,15, FALSE)</f>
        <v>C:\Users\wubia\OneDrive - Longi Magnet Australia Pty ltd\Documents - Longi Australia\03 Project Management\Client\Ladestone\Baremar\AT0006  Developing Plant</v>
      </c>
      <c r="G23" s="16" t="str">
        <f t="shared" si="0"/>
        <v>Open Project Folder</v>
      </c>
      <c r="H23" s="1"/>
    </row>
    <row r="24" spans="1:8" ht="24.65" customHeight="1">
      <c r="A24" s="24" t="s">
        <v>213</v>
      </c>
      <c r="B24" s="24">
        <v>1</v>
      </c>
      <c r="C24" s="7" t="str">
        <f>VLOOKUP($A24, 'Job Data'!$A$2:$P$220,2, FALSE)</f>
        <v>FMG</v>
      </c>
      <c r="D24" s="7" t="str">
        <f>VLOOKUP($A24, 'Job Data'!$A$2:$P$220,3, FALSE)</f>
        <v>Iron Bridge</v>
      </c>
      <c r="E24" s="7" t="str">
        <f>VLOOKUP($A24, 'Job Data'!$A$2:$P$220,14, FALSE)</f>
        <v>AT0007 LJC Testwork</v>
      </c>
      <c r="F24" s="1" t="str">
        <f>VLOOKUP($A24, 'Job Data'!$A$2:$P$220,15, FALSE)</f>
        <v>C:\Users\wubia\OneDrive - Longi Magnet Australia Pty ltd\Documents - Longi Australia\03 Project Management\Client\FMG\Iron Bridge\AT0007 LJC Testwork</v>
      </c>
      <c r="G24" s="16" t="str">
        <f t="shared" si="0"/>
        <v>Open Project Folder</v>
      </c>
      <c r="H24" s="1"/>
    </row>
    <row r="25" spans="1:8" ht="24.65" customHeight="1">
      <c r="A25" s="24" t="s">
        <v>214</v>
      </c>
      <c r="B25" s="24">
        <v>1</v>
      </c>
      <c r="C25" s="7" t="str">
        <f>VLOOKUP($A25, 'Job Data'!$A$2:$P$220,2, FALSE)</f>
        <v>FMG</v>
      </c>
      <c r="D25" s="7" t="str">
        <f>VLOOKUP($A25, 'Job Data'!$A$2:$P$220,3, FALSE)</f>
        <v>Cloudbreak</v>
      </c>
      <c r="E25" s="7" t="str">
        <f>VLOOKUP($A25, 'Job Data'!$A$2:$P$220,14, FALSE)</f>
        <v>AT0008 WHIMS Testwork</v>
      </c>
      <c r="F25" s="1" t="str">
        <f>VLOOKUP($A25, 'Job Data'!$A$2:$P$220,15, FALSE)</f>
        <v>C:\Users\wubia\OneDrive - Longi Magnet Australia Pty ltd\Documents - Longi Australia\03 Project Management\Client\FMG\Cloudbreak\AT0008 WHIMS Testwork</v>
      </c>
      <c r="G25" s="16" t="str">
        <f t="shared" si="0"/>
        <v>Open Project Folder</v>
      </c>
      <c r="H25" s="1"/>
    </row>
    <row r="26" spans="1:8" ht="24.65" customHeight="1">
      <c r="A26" s="24" t="s">
        <v>215</v>
      </c>
      <c r="B26" s="24">
        <v>1</v>
      </c>
      <c r="C26" s="7" t="str">
        <f>VLOOKUP($A26, 'Job Data'!$A$2:$P$220,2, FALSE)</f>
        <v>FMG</v>
      </c>
      <c r="D26" s="7" t="str">
        <f>VLOOKUP($A26, 'Job Data'!$A$2:$P$220,3, FALSE)</f>
        <v>Solomon</v>
      </c>
      <c r="E26" s="7" t="str">
        <f>VLOOKUP($A26, 'Job Data'!$A$2:$P$220,14, FALSE)</f>
        <v>AT0009 WHIMS Testwork</v>
      </c>
      <c r="F26" s="1" t="str">
        <f>VLOOKUP($A26, 'Job Data'!$A$2:$P$220,15, FALSE)</f>
        <v>C:\Users\wubia\OneDrive - Longi Magnet Australia Pty ltd\Documents - Longi Australia\03 Project Management\Client\FMG\Solomon\AT0009 WHIMS Testwork</v>
      </c>
      <c r="G26" s="16" t="str">
        <f t="shared" si="0"/>
        <v>Open Project Folder</v>
      </c>
      <c r="H26" s="1"/>
    </row>
    <row r="27" spans="1:8" ht="24.65" customHeight="1">
      <c r="A27" s="24" t="s">
        <v>216</v>
      </c>
      <c r="B27" s="24">
        <v>1</v>
      </c>
      <c r="C27" s="5" t="str">
        <f>VLOOKUP($A27, 'Job Data'!$A$2:$P$220,2, FALSE)</f>
        <v>Peak_Iron</v>
      </c>
      <c r="D27" s="5" t="str">
        <f>VLOOKUP($A27, 'Job Data'!$A$2:$P$220,3, FALSE)</f>
        <v>Hawks Nest Magnetite</v>
      </c>
      <c r="E27" s="5" t="str">
        <f>VLOOKUP($A27, 'Job Data'!$A$2:$P$220,14, FALSE)</f>
        <v>AT0010 Fine Dry Magnetic Separation testing</v>
      </c>
      <c r="F27" s="1" t="str">
        <f>VLOOKUP($A27, 'Job Data'!$A$2:$P$220,15, FALSE)</f>
        <v>C:\Users\wubia\OneDrive - Longi Magnet Australia Pty ltd\Documents - Longi Australia\03 Project Management\Client\Peak_Iron\Hawks Nest Magnetite\AT0010 Fine Dry Magnetic Separation testing</v>
      </c>
      <c r="G27" s="16" t="str">
        <f t="shared" si="0"/>
        <v>Open Project Folder</v>
      </c>
      <c r="H27" s="1"/>
    </row>
    <row r="28" spans="1:8" ht="24.65" customHeight="1">
      <c r="A28" s="24" t="s">
        <v>247</v>
      </c>
      <c r="B28" s="24">
        <v>1</v>
      </c>
      <c r="C28" s="5" t="str">
        <f>VLOOKUP($A28, 'Job Data'!$A$2:$P$220,2, FALSE)</f>
        <v>Blackore</v>
      </c>
      <c r="D28" s="5" t="str">
        <f>VLOOKUP($A28, 'Job Data'!$A$2:$P$220,3, FALSE)</f>
        <v>Extension Hill</v>
      </c>
      <c r="E28" s="5" t="str">
        <f>VLOOKUP($A28, 'Job Data'!$A$2:$P$220,14, FALSE)</f>
        <v xml:space="preserve">AQ0018 DLIMS </v>
      </c>
      <c r="F28" s="1" t="str">
        <f>VLOOKUP($A28, 'Job Data'!$A$2:$P$220,15, FALSE)</f>
        <v xml:space="preserve">C:\Users\wubia\OneDrive - Longi Magnet Australia Pty ltd\Documents - Longi Australia\03 Project Management\Client\Blackore\Extension Hill\AQ0018 DLIMS </v>
      </c>
      <c r="G28" s="16" t="str">
        <f t="shared" si="0"/>
        <v>Open Project Folder</v>
      </c>
      <c r="H28" s="1"/>
    </row>
    <row r="29" spans="1:8" ht="24.65" customHeight="1">
      <c r="A29" s="24" t="s">
        <v>248</v>
      </c>
      <c r="B29" s="24">
        <v>1</v>
      </c>
      <c r="C29" s="5" t="str">
        <f>VLOOKUP($A29, 'Job Data'!$A$2:$P$220,2, FALSE)</f>
        <v>Blackore</v>
      </c>
      <c r="D29" s="5" t="str">
        <f>VLOOKUP($A29, 'Job Data'!$A$2:$P$220,3, FALSE)</f>
        <v>Extension Hill</v>
      </c>
      <c r="E29" s="5" t="str">
        <f>VLOOKUP($A29, 'Job Data'!$A$2:$P$220,14, FALSE)</f>
        <v>AT0014 Dry Magnetic Separation Testwork(BV)</v>
      </c>
      <c r="F29" s="1" t="str">
        <f>VLOOKUP($A29, 'Job Data'!$A$2:$P$220,15, FALSE)</f>
        <v>C:\Users\wubia\OneDrive - Longi Magnet Australia Pty ltd\Documents - Longi Australia\03 Project Management\Client\Blackore\Extension Hill\AT0014 Dry Magnetic Separation Testwork(BV)</v>
      </c>
      <c r="G29" s="16" t="str">
        <f t="shared" si="0"/>
        <v>Open Project Folder</v>
      </c>
      <c r="H29" s="1"/>
    </row>
    <row r="30" spans="1:8" ht="24.65" customHeight="1">
      <c r="A30" s="24" t="s">
        <v>249</v>
      </c>
      <c r="B30" s="24">
        <v>1</v>
      </c>
      <c r="C30" s="5" t="str">
        <f>VLOOKUP($A30, 'Job Data'!$A$2:$P$220,2, FALSE)</f>
        <v>SIMEC</v>
      </c>
      <c r="D30" s="5" t="str">
        <f>VLOOKUP($A30, 'Job Data'!$A$2:$P$220,3, FALSE)</f>
        <v>MEP 2</v>
      </c>
      <c r="E30" s="5" t="str">
        <f>VLOOKUP($A30, 'Job Data'!$A$2:$P$220,14, FALSE)</f>
        <v>AQ0019 CAP-MAG066-1186 Wet Magnetic Separators</v>
      </c>
      <c r="F30" s="1" t="str">
        <f>VLOOKUP($A30, 'Job Data'!$A$2:$P$220,15, FALSE)</f>
        <v>C:\Users\wubia\OneDrive - Longi Magnet Australia Pty ltd\Documents - Longi Australia\03 Project Management\Client\SIMEC\MEP 2\AQ0019 CAP-MAG066-1186 Wet Magnetic Separators</v>
      </c>
      <c r="G30" s="16" t="str">
        <f t="shared" si="0"/>
        <v>Open Project Folder</v>
      </c>
      <c r="H30" s="1"/>
    </row>
    <row r="31" spans="1:8" ht="24.65" customHeight="1">
      <c r="A31" s="24" t="s">
        <v>327</v>
      </c>
      <c r="B31" s="24">
        <v>1</v>
      </c>
      <c r="C31" s="5" t="str">
        <f>VLOOKUP($A31, 'Job Data'!$A$2:$P$220,2, FALSE)</f>
        <v>SIMEC</v>
      </c>
      <c r="D31" s="5" t="str">
        <f>VLOOKUP($A31, 'Job Data'!$A$2:$P$220,3, FALSE)</f>
        <v>MEP 1</v>
      </c>
      <c r="E31" s="5" t="str">
        <f>VLOOKUP($A31, 'Job Data'!$A$2:$P$220,14, FALSE)</f>
        <v>AQ0026 Metal Detector</v>
      </c>
      <c r="F31" s="1" t="str">
        <f>VLOOKUP($A31, 'Job Data'!$A$2:$P$220,15, FALSE)</f>
        <v>C:\Users\wubia\OneDrive - Longi Magnet Australia Pty ltd\Documents - Longi Australia\03 Project Management\Client\SIMEC\MEP 1\AQ0026 Metal Detector</v>
      </c>
      <c r="G31" s="16" t="str">
        <f t="shared" si="0"/>
        <v>Open Project Folder</v>
      </c>
      <c r="H31" s="1"/>
    </row>
    <row r="32" spans="1:8" ht="24.65" customHeight="1">
      <c r="A32" s="24" t="s">
        <v>328</v>
      </c>
      <c r="B32" s="24">
        <v>1</v>
      </c>
      <c r="C32" s="5" t="str">
        <f>VLOOKUP($A32, 'Job Data'!$A$2:$P$220,2, FALSE)</f>
        <v>SIMEC</v>
      </c>
      <c r="D32" s="5" t="str">
        <f>VLOOKUP($A32, 'Job Data'!$A$2:$P$220,3, FALSE)</f>
        <v>MEP 1</v>
      </c>
      <c r="E32" s="5" t="str">
        <f>VLOOKUP($A32, 'Job Data'!$A$2:$P$220,14, FALSE)</f>
        <v>AT0022 LJC Pilot Test</v>
      </c>
      <c r="F32" s="1" t="str">
        <f>VLOOKUP($A32, 'Job Data'!$A$2:$P$220,15, FALSE)</f>
        <v>C:\Users\wubia\OneDrive - Longi Magnet Australia Pty ltd\Documents - Longi Australia\03 Project Management\Client\SIMEC\MEP 1\AT0022 LJC Pilot Test</v>
      </c>
      <c r="G32" s="16" t="str">
        <f t="shared" si="0"/>
        <v>Open Project Folder</v>
      </c>
      <c r="H32" s="1"/>
    </row>
    <row r="33" spans="1:8" ht="24.65" customHeight="1">
      <c r="A33" s="24" t="s">
        <v>329</v>
      </c>
      <c r="B33" s="24">
        <v>1</v>
      </c>
      <c r="C33" s="5" t="str">
        <f>VLOOKUP($A33, 'Job Data'!$A$2:$P$220,2, FALSE)</f>
        <v>PEABODY_ENERGY</v>
      </c>
      <c r="D33" s="5" t="str">
        <f>VLOOKUP($A33, 'Job Data'!$A$2:$P$220,3, FALSE)</f>
        <v>WINBO</v>
      </c>
      <c r="E33" s="5" t="str">
        <f>VLOOKUP($A33, 'Job Data'!$A$2:$P$220,14, FALSE)</f>
        <v>AQ0028 HMDS Drum Replacment</v>
      </c>
      <c r="F33" s="1" t="str">
        <f>VLOOKUP($A33, 'Job Data'!$A$2:$P$220,15, FALSE)</f>
        <v>C:\Users\wubia\OneDrive - Longi Magnet Australia Pty ltd\Documents - Longi Australia\03 Project Management\Client\PEABODY_ENERGY\WINBO\AQ0028 HMDS Drum Replacment</v>
      </c>
      <c r="G33" s="16" t="str">
        <f t="shared" si="0"/>
        <v>Open Project Folder</v>
      </c>
      <c r="H33" s="1"/>
    </row>
    <row r="34" spans="1:8" ht="24.65" customHeight="1">
      <c r="A34" s="24" t="s">
        <v>387</v>
      </c>
      <c r="B34" s="24">
        <v>1</v>
      </c>
      <c r="C34" s="5" t="str">
        <f>VLOOKUP($A34, 'Job Data'!$A$2:$P$220,2, FALSE)</f>
        <v>SIMEC</v>
      </c>
      <c r="D34" s="5" t="str">
        <f>VLOOKUP($A34, 'Job Data'!$A$2:$P$220,3, FALSE)</f>
        <v>MEP 3</v>
      </c>
      <c r="E34" s="5" t="str">
        <f>VLOOKUP($A34, 'Job Data'!$A$2:$P$220,14, FALSE)</f>
        <v>AQ0032 LJC Budget</v>
      </c>
      <c r="F34" s="1" t="str">
        <f>VLOOKUP($A34, 'Job Data'!$A$2:$P$220,15, FALSE)</f>
        <v>C:\Users\wubia\OneDrive - Longi Magnet Australia Pty ltd\Documents - Longi Australia\03 Project Management\Client\SIMEC\MEP 3\AQ0032 LJC Budget</v>
      </c>
      <c r="G34" s="16" t="str">
        <f t="shared" si="0"/>
        <v>Open Project Folder</v>
      </c>
      <c r="H34" s="1"/>
    </row>
    <row r="35" spans="1:8" ht="24.65" customHeight="1">
      <c r="A35" s="24" t="s">
        <v>389</v>
      </c>
      <c r="B35" s="24">
        <v>1</v>
      </c>
      <c r="C35" s="5" t="str">
        <f>VLOOKUP($A35, 'Job Data'!$A$2:$P$220,2, FALSE)</f>
        <v>MNREC</v>
      </c>
      <c r="D35" s="5" t="str">
        <f>VLOOKUP($A35, 'Job Data'!$A$2:$P$220,3, FALSE)</f>
        <v>Khalzan_Buregtei</v>
      </c>
      <c r="E35" s="5" t="str">
        <f>VLOOKUP($A35, 'Job Data'!$A$2:$P$220,14, FALSE)</f>
        <v>AT0025 WHIMS Pilot</v>
      </c>
      <c r="F35" s="1" t="str">
        <f>VLOOKUP($A35, 'Job Data'!$A$2:$P$220,15, FALSE)</f>
        <v>C:\Users\wubia\OneDrive - Longi Magnet Australia Pty ltd\Documents - Longi Australia\03 Project Management\Client\MNREC\Khalzan_Buregtei\AT0025 WHIMS Pilot</v>
      </c>
      <c r="G35" s="16" t="str">
        <f t="shared" si="0"/>
        <v>Open Project Folder</v>
      </c>
      <c r="H35" s="1"/>
    </row>
    <row r="36" spans="1:8" ht="24.65" customHeight="1">
      <c r="A36" s="24" t="s">
        <v>465</v>
      </c>
      <c r="B36" s="24">
        <v>1</v>
      </c>
      <c r="C36" s="5" t="str">
        <f>VLOOKUP($A36, 'Job Data'!$A$2:$P$220,2, FALSE)</f>
        <v>SIMEC</v>
      </c>
      <c r="D36" s="5" t="str">
        <f>VLOOKUP($A36, 'Job Data'!$A$2:$P$220,3, FALSE)</f>
        <v>MEP 1</v>
      </c>
      <c r="E36" s="5" t="str">
        <f>VLOOKUP($A36, 'Job Data'!$A$2:$P$220,14, FALSE)</f>
        <v>AQ0037 DLIMS FS MT</v>
      </c>
      <c r="F36" s="1" t="str">
        <f>VLOOKUP($A36, 'Job Data'!$A$2:$P$220,15, FALSE)</f>
        <v>C:\Users\wubia\OneDrive - Longi Magnet Australia Pty ltd\Documents - Longi Australia\03 Project Management\Client\SIMEC\MEP 1\AQ0037 DLIMS FS MT</v>
      </c>
      <c r="G36" s="16" t="str">
        <f t="shared" si="0"/>
        <v>Open Project Folder</v>
      </c>
      <c r="H36" s="1"/>
    </row>
    <row r="37" spans="1:8" ht="24.65" customHeight="1">
      <c r="A37" s="24" t="s">
        <v>466</v>
      </c>
      <c r="B37" s="24">
        <v>1</v>
      </c>
      <c r="C37" s="5" t="str">
        <f>VLOOKUP($A37, 'Job Data'!$A$2:$P$220,2, FALSE)</f>
        <v>MNREC</v>
      </c>
      <c r="D37" s="5" t="str">
        <f>VLOOKUP($A37, 'Job Data'!$A$2:$P$220,3, FALSE)</f>
        <v>Khalzan_Buregtei</v>
      </c>
      <c r="E37" s="5" t="str">
        <f>VLOOKUP($A37, 'Job Data'!$A$2:$P$220,14, FALSE)</f>
        <v>AQ0038 WHIMS PFS</v>
      </c>
      <c r="F37" s="1" t="str">
        <f>VLOOKUP($A37, 'Job Data'!$A$2:$P$220,15, FALSE)</f>
        <v>C:\Users\wubia\OneDrive - Longi Magnet Australia Pty ltd\Documents - Longi Australia\03 Project Management\Client\MNREC\Khalzan_Buregtei\AQ0038 WHIMS PFS</v>
      </c>
      <c r="G37" s="16" t="str">
        <f t="shared" si="0"/>
        <v>Open Project Folder</v>
      </c>
      <c r="H37" s="1"/>
    </row>
    <row r="38" spans="1:8" ht="24.65" customHeight="1">
      <c r="A38" s="24" t="s">
        <v>468</v>
      </c>
      <c r="B38" s="24">
        <v>1</v>
      </c>
      <c r="C38" s="5" t="str">
        <f>VLOOKUP($A38, 'Job Data'!$A$2:$P$220,2, FALSE)</f>
        <v>BV</v>
      </c>
      <c r="D38" s="5" t="str">
        <f>VLOOKUP($A38, 'Job Data'!$A$2:$P$220,3, FALSE)</f>
        <v>BV Perth</v>
      </c>
      <c r="E38" s="5" t="str">
        <f>VLOOKUP($A38, 'Job Data'!$A$2:$P$220,14, FALSE)</f>
        <v>AQ0041 LGS-EX Replacement</v>
      </c>
      <c r="F38" s="1" t="str">
        <f>VLOOKUP($A38, 'Job Data'!$A$2:$P$220,15, FALSE)</f>
        <v>C:\Users\wubia\OneDrive - Longi Magnet Australia Pty ltd\Documents - Longi Australia\03 Project Management\Client\BV\BV Perth\AQ0041 LGS-EX Replacement</v>
      </c>
      <c r="G38" s="16" t="str">
        <f t="shared" si="0"/>
        <v>Open Project Folder</v>
      </c>
      <c r="H38" s="1"/>
    </row>
    <row r="39" spans="1:8" ht="24.65" customHeight="1">
      <c r="A39" s="24" t="s">
        <v>469</v>
      </c>
      <c r="B39" s="24">
        <v>1</v>
      </c>
      <c r="C39" s="5" t="str">
        <f>VLOOKUP($A39, 'Job Data'!$A$2:$P$220,2, FALSE)</f>
        <v>SIMEC</v>
      </c>
      <c r="D39" s="5" t="str">
        <f>VLOOKUP($A39, 'Job Data'!$A$2:$P$220,3, FALSE)</f>
        <v>MEP 1</v>
      </c>
      <c r="E39" s="5" t="str">
        <f>VLOOKUP($A39, 'Job Data'!$A$2:$P$220,14, FALSE)</f>
        <v>AQ0042 UCMS FS MT</v>
      </c>
      <c r="F39" s="1" t="str">
        <f>VLOOKUP($A39, 'Job Data'!$A$2:$P$220,15, FALSE)</f>
        <v>C:\Users\wubia\OneDrive - Longi Magnet Australia Pty ltd\Documents - Longi Australia\03 Project Management\Client\SIMEC\MEP 1\AQ0042 UCMS FS MT</v>
      </c>
      <c r="G39" s="16" t="str">
        <f t="shared" si="0"/>
        <v>Open Project Folder</v>
      </c>
      <c r="H39" s="1"/>
    </row>
    <row r="40" spans="1:8" ht="24.65" customHeight="1">
      <c r="A40" s="24" t="s">
        <v>470</v>
      </c>
      <c r="B40" s="24">
        <v>1</v>
      </c>
      <c r="C40" s="5" t="str">
        <f>VLOOKUP($A40, 'Job Data'!$A$2:$P$220,2, FALSE)</f>
        <v>SIMEC</v>
      </c>
      <c r="D40" s="5" t="str">
        <f>VLOOKUP($A40, 'Job Data'!$A$2:$P$220,3, FALSE)</f>
        <v>Hematite</v>
      </c>
      <c r="E40" s="5" t="str">
        <f>VLOOKUP($A40, 'Job Data'!$A$2:$P$220,14, FALSE)</f>
        <v>AT0030 WHIMS Testwork</v>
      </c>
      <c r="F40" s="1" t="str">
        <f>VLOOKUP($A40, 'Job Data'!$A$2:$P$220,15, FALSE)</f>
        <v>C:\Users\wubia\OneDrive - Longi Magnet Australia Pty ltd\Documents - Longi Australia\03 Project Management\Client\SIMEC\Hematite\AT0030 WHIMS Testwork</v>
      </c>
      <c r="G40" s="16" t="str">
        <f t="shared" si="0"/>
        <v>Open Project Folder</v>
      </c>
      <c r="H40" s="1"/>
    </row>
    <row r="41" spans="1:8" ht="24.65" customHeight="1">
      <c r="A41" s="24" t="s">
        <v>474</v>
      </c>
      <c r="B41" s="24">
        <v>1</v>
      </c>
      <c r="C41" s="5" t="str">
        <f>VLOOKUP($A41, 'Job Data'!$A$2:$P$220,2, FALSE)</f>
        <v>SIMEC</v>
      </c>
      <c r="D41" s="5" t="str">
        <f>VLOOKUP($A41, 'Job Data'!$A$2:$P$220,3, FALSE)</f>
        <v>MEP 1</v>
      </c>
      <c r="E41" s="5" t="str">
        <f>VLOOKUP($A41, 'Job Data'!$A$2:$P$220,14, FALSE)</f>
        <v>AQ0047 12935 CP008B DIMS Package</v>
      </c>
      <c r="F41" s="1" t="str">
        <f>VLOOKUP($A41, 'Job Data'!$A$2:$P$220,15, FALSE)</f>
        <v>C:\Users\wubia\OneDrive - Longi Magnet Australia Pty ltd\Documents - Longi Australia\03 Project Management\Client\SIMEC\MEP 1\AQ0047 12935 CP008B DIMS Package</v>
      </c>
      <c r="G41" s="16" t="str">
        <f t="shared" si="0"/>
        <v>Open Project Folder</v>
      </c>
      <c r="H41" s="1"/>
    </row>
    <row r="42" spans="1:8" ht="24.65" customHeight="1">
      <c r="A42" s="24" t="s">
        <v>475</v>
      </c>
      <c r="B42" s="24">
        <v>1</v>
      </c>
      <c r="C42" s="5" t="str">
        <f>VLOOKUP($A42, 'Job Data'!$A$2:$P$220,2, FALSE)</f>
        <v>SIMEC</v>
      </c>
      <c r="D42" s="5" t="str">
        <f>VLOOKUP($A42, 'Job Data'!$A$2:$P$220,3, FALSE)</f>
        <v>MEP 1</v>
      </c>
      <c r="E42" s="5" t="str">
        <f>VLOOKUP($A42, 'Job Data'!$A$2:$P$220,14, FALSE)</f>
        <v>AQ0048 12935 CP008C LJC Package</v>
      </c>
      <c r="F42" s="1" t="str">
        <f>VLOOKUP($A42, 'Job Data'!$A$2:$P$220,15, FALSE)</f>
        <v>C:\Users\wubia\OneDrive - Longi Magnet Australia Pty ltd\Documents - Longi Australia\03 Project Management\Client\SIMEC\MEP 1\AQ0048 12935 CP008C LJC Package</v>
      </c>
      <c r="G42" s="16" t="str">
        <f t="shared" si="0"/>
        <v>Open Project Folder</v>
      </c>
      <c r="H42" s="1"/>
    </row>
    <row r="43" spans="1:8" ht="24.65" customHeight="1">
      <c r="A43" s="24" t="s">
        <v>476</v>
      </c>
      <c r="B43" s="24">
        <v>1</v>
      </c>
      <c r="C43" s="5" t="str">
        <f>VLOOKUP($A43, 'Job Data'!$A$2:$P$220,2, FALSE)</f>
        <v>FMG</v>
      </c>
      <c r="D43" s="5" t="str">
        <f>VLOOKUP($A43, 'Job Data'!$A$2:$P$220,3, FALSE)</f>
        <v>Newman</v>
      </c>
      <c r="E43" s="5" t="str">
        <f>VLOOKUP($A43, 'Job Data'!$A$2:$P$220,14, FALSE)</f>
        <v>AQ0050 Second LGS500</v>
      </c>
      <c r="F43" s="1" t="str">
        <f>VLOOKUP($A43, 'Job Data'!$A$2:$P$220,15, FALSE)</f>
        <v>C:\Users\wubia\OneDrive - Longi Magnet Australia Pty ltd\Documents - Longi Australia\03 Project Management\Client\FMG\Newman\AQ0050 Second LGS500</v>
      </c>
      <c r="G43" s="16" t="str">
        <f t="shared" si="0"/>
        <v>Open Project Folder</v>
      </c>
      <c r="H43" s="1"/>
    </row>
    <row r="44" spans="1:8" ht="24.65" customHeight="1">
      <c r="A44" s="24" t="s">
        <v>585</v>
      </c>
      <c r="B44" s="24">
        <v>1</v>
      </c>
      <c r="C44" s="5" t="str">
        <f>VLOOKUP($A44, 'Job Data'!$A$2:$P$220,2, FALSE)</f>
        <v>Riotinto</v>
      </c>
      <c r="D44" s="5" t="str">
        <f>VLOOKUP($A44, 'Job Data'!$A$2:$P$220,3, FALSE)</f>
        <v>Unknown</v>
      </c>
      <c r="E44" s="5" t="str">
        <f>VLOOKUP($A44, 'Job Data'!$A$2:$P$220,14, FALSE)</f>
        <v>AQ0058 Modular Concentrator Conceptual Study(FOC)</v>
      </c>
      <c r="F44" s="1" t="str">
        <f>VLOOKUP($A44, 'Job Data'!$A$2:$P$220,15, FALSE)</f>
        <v>C:\Users\wubia\OneDrive - Longi Magnet Australia Pty ltd\Documents - Longi Australia\03 Project Management\Client\Riotinto\Unknown\AQ0058 Modular Concentrator Conceptual Study(FOC)</v>
      </c>
      <c r="G44" s="16" t="str">
        <f t="shared" si="0"/>
        <v>Open Project Folder</v>
      </c>
      <c r="H44" s="1"/>
    </row>
    <row r="45" spans="1:8" ht="24.65" customHeight="1">
      <c r="A45" s="24" t="s">
        <v>718</v>
      </c>
      <c r="B45" s="24">
        <v>1</v>
      </c>
      <c r="C45" s="5" t="str">
        <f>VLOOKUP($A45, 'Job Data'!$A$2:$P$220,2, FALSE)</f>
        <v>SIMEC</v>
      </c>
      <c r="D45" s="5" t="str">
        <f>VLOOKUP($A45, 'Job Data'!$A$2:$P$220,3, FALSE)</f>
        <v>Hematite</v>
      </c>
      <c r="E45" s="5" t="str">
        <f>VLOOKUP($A45, 'Job Data'!$A$2:$P$220,14, FALSE)</f>
        <v>AC0024 Tails Recovery Project</v>
      </c>
      <c r="F45" s="1" t="str">
        <f>VLOOKUP($A45, 'Job Data'!$A$2:$P$220,15, FALSE)</f>
        <v>C:\Users\wubia\OneDrive - Longi Magnet Australia Pty ltd\Documents - Longi Australia\03 Project Management\Client\SIMEC\Hematite\AC0024 Tails Recovery Project</v>
      </c>
      <c r="G45" s="16" t="str">
        <f t="shared" si="0"/>
        <v>Open Project Folder</v>
      </c>
      <c r="H45" s="1"/>
    </row>
    <row r="46" spans="1:8" ht="24.65" customHeight="1">
      <c r="A46" s="24" t="s">
        <v>719</v>
      </c>
      <c r="B46" s="24">
        <v>1</v>
      </c>
      <c r="C46" s="5" t="str">
        <f>VLOOKUP($A46, 'Job Data'!$A$2:$P$220,2, FALSE)</f>
        <v>Northern_Mineral</v>
      </c>
      <c r="D46" s="5" t="str">
        <f>VLOOKUP($A46, 'Job Data'!$A$2:$P$220,3, FALSE)</f>
        <v>Browns_Range</v>
      </c>
      <c r="E46" s="5" t="str">
        <f>VLOOKUP($A46, 'Job Data'!$A$2:$P$220,14, FALSE)</f>
        <v>AQ0070 Heavy Rare Earth Project  HGMS (CP085)</v>
      </c>
      <c r="F46" s="1" t="str">
        <f>VLOOKUP($A46, 'Job Data'!$A$2:$P$220,15, FALSE)</f>
        <v>C:\Users\wubia\OneDrive - Longi Magnet Australia Pty ltd\Documents - Longi Australia\03 Project Management\Client\Northern_Mineral\Browns_Range\AQ0070 Heavy Rare Earth Project  HGMS (CP085)</v>
      </c>
      <c r="G46" s="16" t="str">
        <f t="shared" si="0"/>
        <v>Open Project Folder</v>
      </c>
      <c r="H46" s="1"/>
    </row>
    <row r="47" spans="1:8" ht="24.65" customHeight="1">
      <c r="A47" s="24" t="s">
        <v>720</v>
      </c>
      <c r="B47" s="24">
        <v>1</v>
      </c>
      <c r="C47" s="5" t="str">
        <f>VLOOKUP($A47, 'Job Data'!$A$2:$P$220,2, FALSE)</f>
        <v>Iondrive</v>
      </c>
      <c r="D47" s="5" t="str">
        <f>VLOOKUP($A47, 'Job Data'!$A$2:$P$220,3, FALSE)</f>
        <v>Pretreatment Facility</v>
      </c>
      <c r="E47" s="5" t="str">
        <f>VLOOKUP($A47, 'Job Data'!$A$2:$P$220,14, FALSE)</f>
        <v>AQ0076 Low capacity LIMS units</v>
      </c>
      <c r="F47" s="1" t="str">
        <f>VLOOKUP($A47, 'Job Data'!$A$2:$P$220,15, FALSE)</f>
        <v>C:\Users\wubia\OneDrive - Longi Magnet Australia Pty ltd\Documents - Longi Australia\03 Project Management\Client\Iondrive\Pretreatment Facility\AQ0076 Low capacity LIMS units</v>
      </c>
      <c r="G47" s="16" t="str">
        <f t="shared" si="0"/>
        <v>Open Project Folder</v>
      </c>
      <c r="H47" s="1"/>
    </row>
    <row r="48" spans="1:8" ht="24.65" customHeight="1">
      <c r="A48" s="24" t="s">
        <v>721</v>
      </c>
      <c r="B48" s="24">
        <v>1</v>
      </c>
      <c r="C48" s="5" t="str">
        <f>VLOOKUP($A48, 'Job Data'!$A$2:$P$220,2, FALSE)</f>
        <v>HASTING</v>
      </c>
      <c r="D48" s="5" t="str">
        <f>VLOOKUP($A48, 'Job Data'!$A$2:$P$220,3, FALSE)</f>
        <v>Yangibana</v>
      </c>
      <c r="E48" s="5" t="str">
        <f>VLOOKUP($A48, 'Job Data'!$A$2:$P$220,14, FALSE)</f>
        <v>AT0049 Tailing sample MS test</v>
      </c>
      <c r="F48" s="1" t="str">
        <f>VLOOKUP($A48, 'Job Data'!$A$2:$P$220,15, FALSE)</f>
        <v>C:\Users\wubia\OneDrive - Longi Magnet Australia Pty ltd\Documents - Longi Australia\03 Project Management\Client\HASTING\Yangibana\AT0049 Tailing sample MS test</v>
      </c>
      <c r="G48" s="16" t="str">
        <f t="shared" si="0"/>
        <v>Open Project Folder</v>
      </c>
      <c r="H48" s="1"/>
    </row>
    <row r="49" spans="1:8" ht="24.65" customHeight="1">
      <c r="A49" s="24" t="s">
        <v>722</v>
      </c>
      <c r="B49" s="24">
        <v>1</v>
      </c>
      <c r="C49" s="5" t="str">
        <f>VLOOKUP($A49, 'Job Data'!$A$2:$P$220,2, FALSE)</f>
        <v>Norton</v>
      </c>
      <c r="D49" s="5" t="str">
        <f>VLOOKUP($A49, 'Job Data'!$A$2:$P$220,3, FALSE)</f>
        <v>Binduli</v>
      </c>
      <c r="E49" s="5" t="str">
        <f>VLOOKUP($A49, 'Job Data'!$A$2:$P$220,14, FALSE)</f>
        <v>AQ0081 Upgrade Tramp Magnets Assembly Binduli</v>
      </c>
      <c r="F49" s="1" t="str">
        <f>VLOOKUP($A49, 'Job Data'!$A$2:$P$220,15, FALSE)</f>
        <v>C:\Users\wubia\OneDrive - Longi Magnet Australia Pty ltd\Documents - Longi Australia\03 Project Management\Client\Norton\Binduli\AQ0081 Upgrade Tramp Magnets Assembly Binduli</v>
      </c>
      <c r="G49" s="16" t="str">
        <f t="shared" si="0"/>
        <v>Open Project Folder</v>
      </c>
      <c r="H49" s="1"/>
    </row>
    <row r="50" spans="1:8" ht="24.65" customHeight="1">
      <c r="A50" s="24" t="s">
        <v>723</v>
      </c>
      <c r="B50" s="24">
        <v>1</v>
      </c>
      <c r="C50" s="5" t="str">
        <f>VLOOKUP($A50, 'Job Data'!$A$2:$P$220,2, FALSE)</f>
        <v>Norton</v>
      </c>
      <c r="D50" s="5" t="str">
        <f>VLOOKUP($A50, 'Job Data'!$A$2:$P$220,3, FALSE)</f>
        <v>Binduli</v>
      </c>
      <c r="E50" s="5" t="str">
        <f>VLOOKUP($A50, 'Job Data'!$A$2:$P$220,14, FALSE)</f>
        <v>AQ0082 One-off Discount to Support MG201 Replacement</v>
      </c>
      <c r="F50" s="1" t="str">
        <f>VLOOKUP($A50, 'Job Data'!$A$2:$P$220,15, FALSE)</f>
        <v>C:\Users\wubia\OneDrive - Longi Magnet Australia Pty ltd\Documents - Longi Australia\03 Project Management\Client\Norton\Binduli\AQ0082 One-off Discount to Support MG201 Replacement</v>
      </c>
      <c r="G50" s="16" t="str">
        <f t="shared" si="0"/>
        <v>Open Project Folder</v>
      </c>
      <c r="H50" s="1"/>
    </row>
    <row r="51" spans="1:8" ht="24.65" customHeight="1">
      <c r="A51" s="22" t="s">
        <v>752</v>
      </c>
      <c r="B51" s="24">
        <v>1</v>
      </c>
      <c r="C51" s="5" t="str">
        <f>VLOOKUP($A51, 'Job Data'!$A$2:$P$220,2, FALSE)</f>
        <v>Norton</v>
      </c>
      <c r="D51" s="5" t="str">
        <f>VLOOKUP($A51, 'Job Data'!$A$2:$P$220,3, FALSE)</f>
        <v>Binduli</v>
      </c>
      <c r="E51" s="5" t="str">
        <f>VLOOKUP($A51, 'Job Data'!$A$2:$P$220,14, FALSE)</f>
        <v>AS0013 General Service</v>
      </c>
      <c r="F51" s="1" t="str">
        <f>VLOOKUP($A51, 'Job Data'!$A$2:$P$220,15, FALSE)</f>
        <v>C:\Users\wubia\OneDrive - Longi Magnet Australia Pty ltd\Documents - Longi Australia\03 Project Management\Client\Norton\Binduli\AS0013 General Service</v>
      </c>
      <c r="G51" s="16" t="str">
        <f t="shared" si="0"/>
        <v>Open Project Folder</v>
      </c>
      <c r="H51" s="1"/>
    </row>
    <row r="52" spans="1:8" ht="24.65" customHeight="1">
      <c r="A52" s="22" t="s">
        <v>217</v>
      </c>
      <c r="B52" s="22">
        <v>45</v>
      </c>
      <c r="C52" s="5" t="e">
        <f>VLOOKUP($A52, 'Job Data'!$A$2:$P$220,2, FALSE)</f>
        <v>#N/A</v>
      </c>
      <c r="D52" s="5" t="e">
        <f>VLOOKUP($A52, 'Job Data'!$A$2:$P$220,3, FALSE)</f>
        <v>#N/A</v>
      </c>
      <c r="E52" s="5" t="e">
        <f>VLOOKUP($A52, 'Job Data'!$A$2:$P$220,14, FALSE)</f>
        <v>#N/A</v>
      </c>
      <c r="F52" s="1" t="e">
        <f>VLOOKUP($A52, 'Job Data'!$A$2:$P$220,15, FALSE)</f>
        <v>#N/A</v>
      </c>
      <c r="G52" s="16" t="e">
        <f t="shared" si="0"/>
        <v>#N/A</v>
      </c>
      <c r="H52" s="1"/>
    </row>
    <row r="53" spans="1:8" ht="24.65" customHeight="1">
      <c r="C53" s="5" t="e">
        <f>VLOOKUP($A53, 'Job Data'!$A$2:$P$220,2, FALSE)</f>
        <v>#N/A</v>
      </c>
      <c r="D53" s="5" t="e">
        <f>VLOOKUP($A53, 'Job Data'!$A$2:$P$220,3, FALSE)</f>
        <v>#N/A</v>
      </c>
      <c r="E53" s="5" t="e">
        <f>VLOOKUP($A53, 'Job Data'!$A$2:$P$220,14, FALSE)</f>
        <v>#N/A</v>
      </c>
      <c r="F53" s="1" t="e">
        <f>VLOOKUP($A53, 'Job Data'!$A$2:$P$220,15, FALSE)</f>
        <v>#N/A</v>
      </c>
      <c r="G53" s="16" t="e">
        <f t="shared" si="0"/>
        <v>#N/A</v>
      </c>
      <c r="H53" s="1"/>
    </row>
    <row r="54" spans="1:8" ht="24.65" customHeight="1">
      <c r="C54" s="5" t="e">
        <f>VLOOKUP($A54, 'Job Data'!$A$2:$P$220,2, FALSE)</f>
        <v>#N/A</v>
      </c>
      <c r="D54" s="5" t="e">
        <f>VLOOKUP($A54, 'Job Data'!$A$2:$P$220,3, FALSE)</f>
        <v>#N/A</v>
      </c>
      <c r="E54" s="5" t="e">
        <f>VLOOKUP($A54, 'Job Data'!$A$2:$P$220,14, FALSE)</f>
        <v>#N/A</v>
      </c>
      <c r="F54" s="1" t="e">
        <f>VLOOKUP($A54, 'Job Data'!$A$2:$P$220,15, FALSE)</f>
        <v>#N/A</v>
      </c>
      <c r="G54" s="16" t="e">
        <f t="shared" si="0"/>
        <v>#N/A</v>
      </c>
      <c r="H54" s="1"/>
    </row>
    <row r="55" spans="1:8" ht="24.65" customHeight="1">
      <c r="C55" s="5" t="e">
        <f>VLOOKUP($A55, 'Job Data'!$A$2:$P$220,2, FALSE)</f>
        <v>#N/A</v>
      </c>
      <c r="D55" s="5" t="e">
        <f>VLOOKUP($A55, 'Job Data'!$A$2:$P$220,3, FALSE)</f>
        <v>#N/A</v>
      </c>
      <c r="E55" s="5" t="e">
        <f>VLOOKUP($A55, 'Job Data'!$A$2:$P$220,14, FALSE)</f>
        <v>#N/A</v>
      </c>
      <c r="F55" s="1" t="e">
        <f>VLOOKUP($A55, 'Job Data'!$A$2:$P$220,15, FALSE)</f>
        <v>#N/A</v>
      </c>
      <c r="G55" s="16" t="e">
        <f t="shared" si="0"/>
        <v>#N/A</v>
      </c>
      <c r="H55" s="1"/>
    </row>
    <row r="56" spans="1:8" ht="24.65" customHeight="1">
      <c r="C56" s="5" t="e">
        <f>VLOOKUP($A56, 'Job Data'!$A$2:$P$220,2, FALSE)</f>
        <v>#N/A</v>
      </c>
      <c r="D56" s="5" t="e">
        <f>VLOOKUP($A56, 'Job Data'!$A$2:$P$220,3, FALSE)</f>
        <v>#N/A</v>
      </c>
      <c r="E56" s="5" t="e">
        <f>VLOOKUP($A56, 'Job Data'!$A$2:$P$220,14, FALSE)</f>
        <v>#N/A</v>
      </c>
      <c r="F56" s="1" t="e">
        <f>VLOOKUP($A56, 'Job Data'!$A$2:$P$220,15, FALSE)</f>
        <v>#N/A</v>
      </c>
      <c r="G56" s="16" t="e">
        <f t="shared" si="0"/>
        <v>#N/A</v>
      </c>
      <c r="H56" s="1"/>
    </row>
    <row r="57" spans="1:8" ht="24.65" customHeight="1">
      <c r="C57" s="5" t="e">
        <f>VLOOKUP($A57, 'Job Data'!$A$2:$P$220,2, FALSE)</f>
        <v>#N/A</v>
      </c>
      <c r="D57" s="5" t="e">
        <f>VLOOKUP($A57, 'Job Data'!$A$2:$P$220,3, FALSE)</f>
        <v>#N/A</v>
      </c>
      <c r="E57" s="5" t="e">
        <f>VLOOKUP($A57, 'Job Data'!$A$2:$P$220,14, FALSE)</f>
        <v>#N/A</v>
      </c>
      <c r="F57" s="1" t="e">
        <f>VLOOKUP($A57, 'Job Data'!$A$2:$P$220,15, FALSE)</f>
        <v>#N/A</v>
      </c>
      <c r="G57" s="16" t="e">
        <f t="shared" si="0"/>
        <v>#N/A</v>
      </c>
      <c r="H57" s="1"/>
    </row>
    <row r="58" spans="1:8" ht="24.65" customHeight="1">
      <c r="C58" s="5" t="e">
        <f>VLOOKUP($A58, 'Job Data'!$A$2:$P$220,2, FALSE)</f>
        <v>#N/A</v>
      </c>
      <c r="D58" s="5" t="e">
        <f>VLOOKUP($A58, 'Job Data'!$A$2:$P$220,3, FALSE)</f>
        <v>#N/A</v>
      </c>
      <c r="E58" s="5" t="e">
        <f>VLOOKUP($A58, 'Job Data'!$A$2:$P$220,14, FALSE)</f>
        <v>#N/A</v>
      </c>
      <c r="F58" s="1" t="e">
        <f>VLOOKUP($A58, 'Job Data'!$A$2:$P$220,15, FALSE)</f>
        <v>#N/A</v>
      </c>
      <c r="G58" s="16" t="e">
        <f t="shared" si="0"/>
        <v>#N/A</v>
      </c>
      <c r="H58" s="1"/>
    </row>
    <row r="59" spans="1:8" ht="24.65" customHeight="1">
      <c r="C59" s="5" t="e">
        <f>VLOOKUP($A59, 'Job Data'!$A$2:$P$220,2, FALSE)</f>
        <v>#N/A</v>
      </c>
      <c r="D59" s="5" t="e">
        <f>VLOOKUP($A59, 'Job Data'!$A$2:$P$220,3, FALSE)</f>
        <v>#N/A</v>
      </c>
      <c r="E59" s="5" t="e">
        <f>VLOOKUP($A59, 'Job Data'!$A$2:$P$220,14, FALSE)</f>
        <v>#N/A</v>
      </c>
      <c r="F59" s="1" t="e">
        <f>VLOOKUP($A59, 'Job Data'!$A$2:$P$220,15, FALSE)</f>
        <v>#N/A</v>
      </c>
      <c r="G59" s="16" t="e">
        <f t="shared" si="0"/>
        <v>#N/A</v>
      </c>
      <c r="H59" s="1"/>
    </row>
    <row r="60" spans="1:8" ht="24.65" customHeight="1">
      <c r="C60" s="5" t="e">
        <f>VLOOKUP($A60, 'Job Data'!$A$2:$P$220,2, FALSE)</f>
        <v>#N/A</v>
      </c>
      <c r="D60" s="5" t="e">
        <f>VLOOKUP($A60, 'Job Data'!$A$2:$P$220,3, FALSE)</f>
        <v>#N/A</v>
      </c>
      <c r="E60" s="5" t="e">
        <f>VLOOKUP($A60, 'Job Data'!$A$2:$P$220,14, FALSE)</f>
        <v>#N/A</v>
      </c>
      <c r="F60" s="1" t="e">
        <f>VLOOKUP($A60, 'Job Data'!$A$2:$P$220,15, FALSE)</f>
        <v>#N/A</v>
      </c>
      <c r="G60" s="16" t="e">
        <f t="shared" si="0"/>
        <v>#N/A</v>
      </c>
      <c r="H60" s="1"/>
    </row>
    <row r="61" spans="1:8" ht="24.65" customHeight="1">
      <c r="C61" s="5" t="e">
        <f>VLOOKUP($A61, 'Job Data'!$A$2:$P$220,2, FALSE)</f>
        <v>#N/A</v>
      </c>
      <c r="D61" s="5" t="e">
        <f>VLOOKUP($A61, 'Job Data'!$A$2:$P$220,3, FALSE)</f>
        <v>#N/A</v>
      </c>
      <c r="E61" s="5" t="e">
        <f>VLOOKUP($A61, 'Job Data'!$A$2:$P$220,14, FALSE)</f>
        <v>#N/A</v>
      </c>
      <c r="F61" s="1" t="e">
        <f>VLOOKUP($A61, 'Job Data'!$A$2:$P$220,15, FALSE)</f>
        <v>#N/A</v>
      </c>
      <c r="G61" s="16" t="e">
        <f t="shared" si="0"/>
        <v>#N/A</v>
      </c>
      <c r="H61" s="1"/>
    </row>
    <row r="62" spans="1:8" ht="24.65" customHeight="1">
      <c r="C62" s="5" t="e">
        <f>VLOOKUP($A62, 'Job Data'!$A$2:$P$220,2, FALSE)</f>
        <v>#N/A</v>
      </c>
      <c r="D62" s="5" t="e">
        <f>VLOOKUP($A62, 'Job Data'!$A$2:$P$220,3, FALSE)</f>
        <v>#N/A</v>
      </c>
      <c r="E62" s="5" t="e">
        <f>VLOOKUP($A62, 'Job Data'!$A$2:$P$220,14, FALSE)</f>
        <v>#N/A</v>
      </c>
      <c r="F62" s="1" t="e">
        <f>VLOOKUP($A62, 'Job Data'!$A$2:$P$220,15, FALSE)</f>
        <v>#N/A</v>
      </c>
      <c r="G62" s="16" t="e">
        <f t="shared" si="0"/>
        <v>#N/A</v>
      </c>
      <c r="H62" s="1"/>
    </row>
    <row r="63" spans="1:8" ht="24.65" customHeight="1">
      <c r="C63" s="5" t="e">
        <f>VLOOKUP($A63, 'Job Data'!$A$2:$P$220,2, FALSE)</f>
        <v>#N/A</v>
      </c>
      <c r="D63" s="5" t="e">
        <f>VLOOKUP($A63, 'Job Data'!$A$2:$P$220,3, FALSE)</f>
        <v>#N/A</v>
      </c>
      <c r="E63" s="5" t="e">
        <f>VLOOKUP($A63, 'Job Data'!$A$2:$P$220,14, FALSE)</f>
        <v>#N/A</v>
      </c>
      <c r="F63" s="1" t="e">
        <f>VLOOKUP($A63, 'Job Data'!$A$2:$P$220,15, FALSE)</f>
        <v>#N/A</v>
      </c>
      <c r="G63" s="16" t="e">
        <f t="shared" si="0"/>
        <v>#N/A</v>
      </c>
      <c r="H63" s="1"/>
    </row>
    <row r="64" spans="1:8" ht="24.65" customHeight="1">
      <c r="C64" s="5" t="e">
        <f>VLOOKUP($A64, 'Job Data'!$A$2:$P$220,2, FALSE)</f>
        <v>#N/A</v>
      </c>
      <c r="D64" s="5" t="e">
        <f>VLOOKUP($A64, 'Job Data'!$A$2:$P$220,3, FALSE)</f>
        <v>#N/A</v>
      </c>
      <c r="E64" s="5" t="e">
        <f>VLOOKUP($A64, 'Job Data'!$A$2:$P$220,14, FALSE)</f>
        <v>#N/A</v>
      </c>
      <c r="F64" s="1" t="e">
        <f>VLOOKUP($A64, 'Job Data'!$A$2:$P$220,15, FALSE)</f>
        <v>#N/A</v>
      </c>
      <c r="G64" s="16" t="e">
        <f t="shared" si="0"/>
        <v>#N/A</v>
      </c>
      <c r="H64" s="1"/>
    </row>
    <row r="65" spans="1:8" ht="24.65" customHeight="1">
      <c r="C65" s="5" t="e">
        <f>VLOOKUP($A65, 'Job Data'!$A$2:$P$220,2, FALSE)</f>
        <v>#N/A</v>
      </c>
      <c r="D65" s="5" t="e">
        <f>VLOOKUP($A65, 'Job Data'!$A$2:$P$220,3, FALSE)</f>
        <v>#N/A</v>
      </c>
      <c r="E65" s="5" t="e">
        <f>VLOOKUP($A65, 'Job Data'!$A$2:$P$220,14, FALSE)</f>
        <v>#N/A</v>
      </c>
      <c r="F65" s="1" t="e">
        <f>VLOOKUP($A65, 'Job Data'!$A$2:$P$220,15, FALSE)</f>
        <v>#N/A</v>
      </c>
      <c r="G65" s="16" t="e">
        <f t="shared" si="0"/>
        <v>#N/A</v>
      </c>
      <c r="H65" s="1"/>
    </row>
    <row r="66" spans="1:8" ht="24.65" customHeight="1">
      <c r="C66" s="5" t="e">
        <f>VLOOKUP($A66, 'Job Data'!$A$2:$P$220,2, FALSE)</f>
        <v>#N/A</v>
      </c>
      <c r="D66" s="5" t="e">
        <f>VLOOKUP($A66, 'Job Data'!$A$2:$P$220,3, FALSE)</f>
        <v>#N/A</v>
      </c>
      <c r="E66" s="5" t="e">
        <f>VLOOKUP($A66, 'Job Data'!$A$2:$P$220,14, FALSE)</f>
        <v>#N/A</v>
      </c>
      <c r="F66" s="1" t="e">
        <f>VLOOKUP($A66, 'Job Data'!$A$2:$P$220,15, FALSE)</f>
        <v>#N/A</v>
      </c>
      <c r="G66" s="16" t="e">
        <f t="shared" si="0"/>
        <v>#N/A</v>
      </c>
      <c r="H66" s="1"/>
    </row>
    <row r="67" spans="1:8" ht="24.65" customHeight="1">
      <c r="C67" s="5" t="e">
        <f>VLOOKUP($A67, 'Job Data'!$A$2:$P$220,2, FALSE)</f>
        <v>#N/A</v>
      </c>
      <c r="D67" s="5" t="e">
        <f>VLOOKUP($A67, 'Job Data'!$A$2:$P$220,3, FALSE)</f>
        <v>#N/A</v>
      </c>
      <c r="E67" s="5" t="e">
        <f>VLOOKUP($A67, 'Job Data'!$A$2:$P$220,14, FALSE)</f>
        <v>#N/A</v>
      </c>
      <c r="F67" s="1" t="e">
        <f>VLOOKUP($A67, 'Job Data'!$A$2:$P$220,15, FALSE)</f>
        <v>#N/A</v>
      </c>
      <c r="G67" s="16" t="e">
        <f t="shared" si="0"/>
        <v>#N/A</v>
      </c>
      <c r="H67" s="1"/>
    </row>
    <row r="68" spans="1:8" ht="24.65" customHeight="1">
      <c r="C68" s="5" t="e">
        <f>VLOOKUP($A68, 'Job Data'!$A$2:$P$220,2, FALSE)</f>
        <v>#N/A</v>
      </c>
      <c r="D68" s="5" t="e">
        <f>VLOOKUP($A68, 'Job Data'!$A$2:$P$220,3, FALSE)</f>
        <v>#N/A</v>
      </c>
      <c r="E68" s="5" t="e">
        <f>VLOOKUP($A68, 'Job Data'!$A$2:$P$220,14, FALSE)</f>
        <v>#N/A</v>
      </c>
      <c r="F68" s="1" t="e">
        <f>VLOOKUP($A68, 'Job Data'!$A$2:$P$220,15, FALSE)</f>
        <v>#N/A</v>
      </c>
      <c r="G68" s="16" t="e">
        <f t="shared" si="0"/>
        <v>#N/A</v>
      </c>
      <c r="H68" s="1"/>
    </row>
    <row r="69" spans="1:8" ht="24.65" customHeight="1">
      <c r="C69" s="5" t="e">
        <f>VLOOKUP($A69, 'Job Data'!$A$2:$P$220,2, FALSE)</f>
        <v>#N/A</v>
      </c>
      <c r="D69" s="5" t="e">
        <f>VLOOKUP($A69, 'Job Data'!$A$2:$P$220,3, FALSE)</f>
        <v>#N/A</v>
      </c>
      <c r="E69" s="5" t="e">
        <f>VLOOKUP($A69, 'Job Data'!$A$2:$P$220,14, FALSE)</f>
        <v>#N/A</v>
      </c>
      <c r="F69" s="1" t="e">
        <f>VLOOKUP($A69, 'Job Data'!$A$2:$P$220,15, FALSE)</f>
        <v>#N/A</v>
      </c>
      <c r="G69" s="16" t="e">
        <f t="shared" si="0"/>
        <v>#N/A</v>
      </c>
      <c r="H69" s="1"/>
    </row>
    <row r="70" spans="1:8" ht="24.65" customHeight="1">
      <c r="A70" s="5"/>
      <c r="B70" s="5"/>
      <c r="C70" s="5" t="e">
        <f>VLOOKUP($A70, 'Job Data'!$A$2:$P$220,2, FALSE)</f>
        <v>#N/A</v>
      </c>
      <c r="D70" s="5" t="e">
        <f>VLOOKUP($A70, 'Job Data'!$A$2:$P$220,3, FALSE)</f>
        <v>#N/A</v>
      </c>
      <c r="E70" s="5" t="e">
        <f>VLOOKUP($A70, 'Job Data'!$A$2:$P$220,14, FALSE)</f>
        <v>#N/A</v>
      </c>
      <c r="F70" s="1" t="e">
        <f>VLOOKUP($A70, 'Job Data'!$A$2:$P$220,15, FALSE)</f>
        <v>#N/A</v>
      </c>
      <c r="G70" s="16" t="e">
        <f t="shared" si="0"/>
        <v>#N/A</v>
      </c>
      <c r="H70" s="1"/>
    </row>
    <row r="71" spans="1:8" ht="24.65" customHeight="1">
      <c r="A71" s="5"/>
      <c r="B71" s="5"/>
      <c r="C71" s="5" t="e">
        <f>VLOOKUP($A71, 'Job Data'!$A$2:$P$220,2, FALSE)</f>
        <v>#N/A</v>
      </c>
      <c r="D71" s="5" t="e">
        <f>VLOOKUP($A71, 'Job Data'!$A$2:$P$220,3, FALSE)</f>
        <v>#N/A</v>
      </c>
      <c r="E71" s="5" t="e">
        <f>VLOOKUP($A71, 'Job Data'!$A$2:$P$220,14, FALSE)</f>
        <v>#N/A</v>
      </c>
      <c r="F71" s="1" t="e">
        <f>VLOOKUP($A71, 'Job Data'!$A$2:$P$220,15, FALSE)</f>
        <v>#N/A</v>
      </c>
      <c r="G71" s="16" t="e">
        <f t="shared" si="0"/>
        <v>#N/A</v>
      </c>
      <c r="H71" s="1"/>
    </row>
    <row r="72" spans="1:8" ht="24.65" customHeight="1">
      <c r="A72" s="5"/>
      <c r="B72" s="5"/>
      <c r="C72" s="5" t="e">
        <f>VLOOKUP($A72, 'Job Data'!$A$2:$P$220,2, FALSE)</f>
        <v>#N/A</v>
      </c>
      <c r="D72" s="5" t="e">
        <f>VLOOKUP($A72, 'Job Data'!$A$2:$P$220,3, FALSE)</f>
        <v>#N/A</v>
      </c>
      <c r="E72" s="5" t="e">
        <f>VLOOKUP($A72, 'Job Data'!$A$2:$P$220,14, FALSE)</f>
        <v>#N/A</v>
      </c>
      <c r="F72" s="1" t="e">
        <f>VLOOKUP($A72, 'Job Data'!$A$2:$P$220,15, FALSE)</f>
        <v>#N/A</v>
      </c>
      <c r="G72" s="16" t="e">
        <f t="shared" ref="G72:G124" si="1">HYPERLINK(SUBSTITUTE(SUBSTITUTE(F72, "C:\Users\wubia\OneDrive - Longi Magnet Australia Pty ltd\Documents - Longi Australia", "C:\Users\Sammi\Longi Magnet Australia Pty ltd\Longi Australia - Documents"), "\\", "\\"),"Open Project Folder")</f>
        <v>#N/A</v>
      </c>
      <c r="H72" s="1"/>
    </row>
    <row r="73" spans="1:8" ht="24.65" customHeight="1">
      <c r="A73" s="5"/>
      <c r="B73" s="5"/>
      <c r="C73" s="5" t="e">
        <f>VLOOKUP($A73, 'Job Data'!$A$2:$P$220,2, FALSE)</f>
        <v>#N/A</v>
      </c>
      <c r="D73" s="5" t="e">
        <f>VLOOKUP($A73, 'Job Data'!$A$2:$P$220,3, FALSE)</f>
        <v>#N/A</v>
      </c>
      <c r="E73" s="5" t="e">
        <f>VLOOKUP($A73, 'Job Data'!$A$2:$P$220,14, FALSE)</f>
        <v>#N/A</v>
      </c>
      <c r="F73" s="1" t="e">
        <f>VLOOKUP($A73, 'Job Data'!$A$2:$P$220,15, FALSE)</f>
        <v>#N/A</v>
      </c>
      <c r="G73" s="16" t="e">
        <f t="shared" si="1"/>
        <v>#N/A</v>
      </c>
      <c r="H73" s="1"/>
    </row>
    <row r="74" spans="1:8" ht="24.65" customHeight="1">
      <c r="A74" s="5"/>
      <c r="B74" s="5"/>
      <c r="C74" s="5" t="e">
        <f>VLOOKUP($A74, 'Job Data'!$A$2:$P$220,2, FALSE)</f>
        <v>#N/A</v>
      </c>
      <c r="D74" s="5" t="e">
        <f>VLOOKUP($A74, 'Job Data'!$A$2:$P$220,3, FALSE)</f>
        <v>#N/A</v>
      </c>
      <c r="E74" s="5" t="e">
        <f>VLOOKUP($A74, 'Job Data'!$A$2:$P$220,14, FALSE)</f>
        <v>#N/A</v>
      </c>
      <c r="F74" s="1" t="e">
        <f>VLOOKUP($A74, 'Job Data'!$A$2:$P$220,15, FALSE)</f>
        <v>#N/A</v>
      </c>
      <c r="G74" s="16" t="e">
        <f t="shared" si="1"/>
        <v>#N/A</v>
      </c>
      <c r="H74" s="1"/>
    </row>
    <row r="75" spans="1:8" ht="24.65" customHeight="1">
      <c r="A75" s="5"/>
      <c r="B75" s="5"/>
      <c r="C75" s="5" t="e">
        <f>VLOOKUP($A75, 'Job Data'!$A$2:$P$220,2, FALSE)</f>
        <v>#N/A</v>
      </c>
      <c r="D75" s="5" t="e">
        <f>VLOOKUP($A75, 'Job Data'!$A$2:$P$220,3, FALSE)</f>
        <v>#N/A</v>
      </c>
      <c r="E75" s="5" t="e">
        <f>VLOOKUP($A75, 'Job Data'!$A$2:$P$220,14, FALSE)</f>
        <v>#N/A</v>
      </c>
      <c r="F75" s="1" t="e">
        <f>VLOOKUP($A75, 'Job Data'!$A$2:$P$220,15, FALSE)</f>
        <v>#N/A</v>
      </c>
      <c r="G75" s="16" t="e">
        <f t="shared" si="1"/>
        <v>#N/A</v>
      </c>
      <c r="H75" s="1"/>
    </row>
    <row r="76" spans="1:8" ht="24.65" customHeight="1">
      <c r="A76" s="5"/>
      <c r="B76" s="5"/>
      <c r="C76" s="5" t="e">
        <f>VLOOKUP($A76, 'Job Data'!$A$2:$P$220,2, FALSE)</f>
        <v>#N/A</v>
      </c>
      <c r="D76" s="5" t="e">
        <f>VLOOKUP($A76, 'Job Data'!$A$2:$P$220,3, FALSE)</f>
        <v>#N/A</v>
      </c>
      <c r="E76" s="5" t="e">
        <f>VLOOKUP($A76, 'Job Data'!$A$2:$P$220,14, FALSE)</f>
        <v>#N/A</v>
      </c>
      <c r="F76" s="1" t="e">
        <f>VLOOKUP($A76, 'Job Data'!$A$2:$P$220,15, FALSE)</f>
        <v>#N/A</v>
      </c>
      <c r="G76" s="16" t="e">
        <f t="shared" si="1"/>
        <v>#N/A</v>
      </c>
      <c r="H76" s="1"/>
    </row>
    <row r="77" spans="1:8" ht="24.65" customHeight="1">
      <c r="A77" s="5"/>
      <c r="B77" s="5"/>
      <c r="C77" s="5" t="e">
        <f>VLOOKUP($A77, 'Job Data'!$A$2:$P$220,2, FALSE)</f>
        <v>#N/A</v>
      </c>
      <c r="D77" s="5" t="e">
        <f>VLOOKUP($A77, 'Job Data'!$A$2:$P$220,3, FALSE)</f>
        <v>#N/A</v>
      </c>
      <c r="E77" s="5" t="e">
        <f>VLOOKUP($A77, 'Job Data'!$A$2:$P$220,14, FALSE)</f>
        <v>#N/A</v>
      </c>
      <c r="F77" s="1" t="e">
        <f>VLOOKUP($A77, 'Job Data'!$A$2:$P$220,15, FALSE)</f>
        <v>#N/A</v>
      </c>
      <c r="G77" s="16" t="e">
        <f t="shared" si="1"/>
        <v>#N/A</v>
      </c>
      <c r="H77" s="1"/>
    </row>
    <row r="78" spans="1:8" ht="24.65" customHeight="1">
      <c r="A78" s="5"/>
      <c r="B78" s="5"/>
      <c r="C78" s="5" t="e">
        <f>VLOOKUP($A78, 'Job Data'!$A$2:$P$220,2, FALSE)</f>
        <v>#N/A</v>
      </c>
      <c r="D78" s="5" t="e">
        <f>VLOOKUP($A78, 'Job Data'!$A$2:$P$220,3, FALSE)</f>
        <v>#N/A</v>
      </c>
      <c r="E78" s="5" t="e">
        <f>VLOOKUP($A78, 'Job Data'!$A$2:$P$220,14, FALSE)</f>
        <v>#N/A</v>
      </c>
      <c r="F78" s="1" t="e">
        <f>VLOOKUP($A78, 'Job Data'!$A$2:$P$220,15, FALSE)</f>
        <v>#N/A</v>
      </c>
      <c r="G78" s="16" t="e">
        <f t="shared" si="1"/>
        <v>#N/A</v>
      </c>
      <c r="H78" s="1"/>
    </row>
    <row r="79" spans="1:8" ht="24.65" customHeight="1">
      <c r="A79" s="5"/>
      <c r="B79" s="5"/>
      <c r="C79" s="5" t="e">
        <f>VLOOKUP($A79, 'Job Data'!$A$2:$P$220,2, FALSE)</f>
        <v>#N/A</v>
      </c>
      <c r="D79" s="5" t="e">
        <f>VLOOKUP($A79, 'Job Data'!$A$2:$P$220,3, FALSE)</f>
        <v>#N/A</v>
      </c>
      <c r="E79" s="5" t="e">
        <f>VLOOKUP($A79, 'Job Data'!$A$2:$P$220,14, FALSE)</f>
        <v>#N/A</v>
      </c>
      <c r="F79" s="1" t="e">
        <f>VLOOKUP($A79, 'Job Data'!$A$2:$P$220,15, FALSE)</f>
        <v>#N/A</v>
      </c>
      <c r="G79" s="16" t="e">
        <f t="shared" si="1"/>
        <v>#N/A</v>
      </c>
      <c r="H79" s="1"/>
    </row>
    <row r="80" spans="1:8" ht="24.65" customHeight="1">
      <c r="A80" s="5"/>
      <c r="B80" s="5"/>
      <c r="C80" s="5" t="e">
        <f>VLOOKUP($A80, 'Job Data'!$A$2:$P$220,2, FALSE)</f>
        <v>#N/A</v>
      </c>
      <c r="D80" s="5" t="e">
        <f>VLOOKUP($A80, 'Job Data'!$A$2:$P$220,3, FALSE)</f>
        <v>#N/A</v>
      </c>
      <c r="E80" s="5" t="e">
        <f>VLOOKUP($A80, 'Job Data'!$A$2:$P$220,14, FALSE)</f>
        <v>#N/A</v>
      </c>
      <c r="F80" s="1" t="e">
        <f>VLOOKUP($A80, 'Job Data'!$A$2:$P$220,15, FALSE)</f>
        <v>#N/A</v>
      </c>
      <c r="G80" s="16" t="e">
        <f t="shared" si="1"/>
        <v>#N/A</v>
      </c>
      <c r="H80" s="1"/>
    </row>
    <row r="81" spans="1:8" ht="24.65" customHeight="1">
      <c r="A81" s="5"/>
      <c r="B81" s="5"/>
      <c r="C81" s="5" t="e">
        <f>VLOOKUP($A81, 'Job Data'!$A$2:$P$220,2, FALSE)</f>
        <v>#N/A</v>
      </c>
      <c r="D81" s="5" t="e">
        <f>VLOOKUP($A81, 'Job Data'!$A$2:$P$220,3, FALSE)</f>
        <v>#N/A</v>
      </c>
      <c r="E81" s="5" t="e">
        <f>VLOOKUP($A81, 'Job Data'!$A$2:$P$220,14, FALSE)</f>
        <v>#N/A</v>
      </c>
      <c r="F81" s="1" t="e">
        <f>VLOOKUP($A81, 'Job Data'!$A$2:$P$220,15, FALSE)</f>
        <v>#N/A</v>
      </c>
      <c r="G81" s="16" t="e">
        <f t="shared" si="1"/>
        <v>#N/A</v>
      </c>
      <c r="H81" s="1"/>
    </row>
    <row r="82" spans="1:8" ht="24.65" customHeight="1">
      <c r="A82" s="5"/>
      <c r="B82" s="5"/>
      <c r="C82" s="5" t="e">
        <f>VLOOKUP($A82, 'Job Data'!$A$2:$P$220,2, FALSE)</f>
        <v>#N/A</v>
      </c>
      <c r="D82" s="5" t="e">
        <f>VLOOKUP($A82, 'Job Data'!$A$2:$P$220,3, FALSE)</f>
        <v>#N/A</v>
      </c>
      <c r="E82" s="5" t="e">
        <f>VLOOKUP($A82, 'Job Data'!$A$2:$P$220,14, FALSE)</f>
        <v>#N/A</v>
      </c>
      <c r="F82" s="1" t="e">
        <f>VLOOKUP($A82, 'Job Data'!$A$2:$P$220,15, FALSE)</f>
        <v>#N/A</v>
      </c>
      <c r="G82" s="16" t="e">
        <f t="shared" si="1"/>
        <v>#N/A</v>
      </c>
      <c r="H82" s="1"/>
    </row>
    <row r="83" spans="1:8" ht="24.65" customHeight="1">
      <c r="A83" s="5"/>
      <c r="B83" s="5"/>
      <c r="C83" s="5" t="e">
        <f>VLOOKUP($A83, 'Job Data'!$A$2:$P$220,2, FALSE)</f>
        <v>#N/A</v>
      </c>
      <c r="D83" s="5" t="e">
        <f>VLOOKUP($A83, 'Job Data'!$A$2:$P$220,3, FALSE)</f>
        <v>#N/A</v>
      </c>
      <c r="E83" s="5" t="e">
        <f>VLOOKUP($A83, 'Job Data'!$A$2:$P$220,14, FALSE)</f>
        <v>#N/A</v>
      </c>
      <c r="F83" s="1" t="e">
        <f>VLOOKUP($A83, 'Job Data'!$A$2:$P$220,15, FALSE)</f>
        <v>#N/A</v>
      </c>
      <c r="G83" s="16" t="e">
        <f t="shared" si="1"/>
        <v>#N/A</v>
      </c>
      <c r="H83" s="1"/>
    </row>
    <row r="84" spans="1:8" ht="24.65" customHeight="1">
      <c r="A84" s="5"/>
      <c r="B84" s="5"/>
      <c r="C84" s="5" t="e">
        <f>VLOOKUP($A84, 'Job Data'!$A$2:$P$220,2, FALSE)</f>
        <v>#N/A</v>
      </c>
      <c r="D84" s="5" t="e">
        <f>VLOOKUP($A84, 'Job Data'!$A$2:$P$220,3, FALSE)</f>
        <v>#N/A</v>
      </c>
      <c r="E84" s="5" t="e">
        <f>VLOOKUP($A84, 'Job Data'!$A$2:$P$220,14, FALSE)</f>
        <v>#N/A</v>
      </c>
      <c r="F84" s="1" t="e">
        <f>VLOOKUP($A84, 'Job Data'!$A$2:$P$220,15, FALSE)</f>
        <v>#N/A</v>
      </c>
      <c r="G84" s="16" t="e">
        <f t="shared" si="1"/>
        <v>#N/A</v>
      </c>
      <c r="H84" s="1"/>
    </row>
    <row r="85" spans="1:8" ht="24.65" customHeight="1">
      <c r="A85" s="5"/>
      <c r="B85" s="5"/>
      <c r="C85" s="5" t="e">
        <f>VLOOKUP($A85, 'Job Data'!$A$2:$P$220,2, FALSE)</f>
        <v>#N/A</v>
      </c>
      <c r="D85" s="5" t="e">
        <f>VLOOKUP($A85, 'Job Data'!$A$2:$P$220,3, FALSE)</f>
        <v>#N/A</v>
      </c>
      <c r="E85" s="5" t="e">
        <f>VLOOKUP($A85, 'Job Data'!$A$2:$P$220,14, FALSE)</f>
        <v>#N/A</v>
      </c>
      <c r="F85" s="1" t="e">
        <f>VLOOKUP($A85, 'Job Data'!$A$2:$P$220,15, FALSE)</f>
        <v>#N/A</v>
      </c>
      <c r="G85" s="16" t="e">
        <f t="shared" si="1"/>
        <v>#N/A</v>
      </c>
      <c r="H85" s="1"/>
    </row>
    <row r="86" spans="1:8" ht="24.65" customHeight="1">
      <c r="A86" s="5"/>
      <c r="B86" s="5"/>
      <c r="C86" s="5" t="e">
        <f>VLOOKUP($A86, 'Job Data'!$A$2:$P$220,2, FALSE)</f>
        <v>#N/A</v>
      </c>
      <c r="D86" s="5" t="e">
        <f>VLOOKUP($A86, 'Job Data'!$A$2:$P$220,3, FALSE)</f>
        <v>#N/A</v>
      </c>
      <c r="E86" s="5" t="e">
        <f>VLOOKUP($A86, 'Job Data'!$A$2:$P$220,14, FALSE)</f>
        <v>#N/A</v>
      </c>
      <c r="F86" s="1" t="e">
        <f>VLOOKUP($A86, 'Job Data'!$A$2:$P$220,15, FALSE)</f>
        <v>#N/A</v>
      </c>
      <c r="G86" s="16" t="e">
        <f t="shared" si="1"/>
        <v>#N/A</v>
      </c>
      <c r="H86" s="1"/>
    </row>
    <row r="87" spans="1:8" ht="24.65" customHeight="1">
      <c r="A87" s="5"/>
      <c r="B87" s="5"/>
      <c r="C87" s="5" t="e">
        <f>VLOOKUP($A87, 'Job Data'!$A$2:$P$220,2, FALSE)</f>
        <v>#N/A</v>
      </c>
      <c r="D87" s="5" t="e">
        <f>VLOOKUP($A87, 'Job Data'!$A$2:$P$220,3, FALSE)</f>
        <v>#N/A</v>
      </c>
      <c r="E87" s="5" t="e">
        <f>VLOOKUP($A87, 'Job Data'!$A$2:$P$220,14, FALSE)</f>
        <v>#N/A</v>
      </c>
      <c r="F87" s="1" t="e">
        <f>VLOOKUP($A87, 'Job Data'!$A$2:$P$220,15, FALSE)</f>
        <v>#N/A</v>
      </c>
      <c r="G87" s="16" t="e">
        <f t="shared" si="1"/>
        <v>#N/A</v>
      </c>
      <c r="H87" s="1"/>
    </row>
    <row r="88" spans="1:8" ht="24.65" customHeight="1">
      <c r="A88" s="5"/>
      <c r="B88" s="5"/>
      <c r="C88" s="5" t="e">
        <f>VLOOKUP($A88, 'Job Data'!$A$2:$P$220,2, FALSE)</f>
        <v>#N/A</v>
      </c>
      <c r="D88" s="5" t="e">
        <f>VLOOKUP($A88, 'Job Data'!$A$2:$P$220,3, FALSE)</f>
        <v>#N/A</v>
      </c>
      <c r="E88" s="5" t="e">
        <f>VLOOKUP($A88, 'Job Data'!$A$2:$P$220,14, FALSE)</f>
        <v>#N/A</v>
      </c>
      <c r="F88" s="1" t="e">
        <f>VLOOKUP($A88, 'Job Data'!$A$2:$P$220,15, FALSE)</f>
        <v>#N/A</v>
      </c>
      <c r="G88" s="16" t="e">
        <f t="shared" si="1"/>
        <v>#N/A</v>
      </c>
      <c r="H88" s="1"/>
    </row>
    <row r="89" spans="1:8" ht="24.65" customHeight="1">
      <c r="A89" s="5"/>
      <c r="B89" s="5"/>
      <c r="C89" s="5" t="e">
        <f>VLOOKUP($A89, 'Job Data'!$A$2:$P$220,2, FALSE)</f>
        <v>#N/A</v>
      </c>
      <c r="D89" s="5" t="e">
        <f>VLOOKUP($A89, 'Job Data'!$A$2:$P$220,3, FALSE)</f>
        <v>#N/A</v>
      </c>
      <c r="E89" s="5" t="e">
        <f>VLOOKUP($A89, 'Job Data'!$A$2:$P$220,14, FALSE)</f>
        <v>#N/A</v>
      </c>
      <c r="F89" s="1" t="e">
        <f>VLOOKUP($A89, 'Job Data'!$A$2:$P$220,15, FALSE)</f>
        <v>#N/A</v>
      </c>
      <c r="G89" s="16" t="e">
        <f t="shared" si="1"/>
        <v>#N/A</v>
      </c>
      <c r="H89" s="1"/>
    </row>
    <row r="90" spans="1:8" ht="24.65" customHeight="1">
      <c r="A90" s="5"/>
      <c r="B90" s="5"/>
      <c r="C90" s="5" t="e">
        <f>VLOOKUP($A90, 'Job Data'!$A$2:$P$220,2, FALSE)</f>
        <v>#N/A</v>
      </c>
      <c r="D90" s="5" t="e">
        <f>VLOOKUP($A90, 'Job Data'!$A$2:$P$220,3, FALSE)</f>
        <v>#N/A</v>
      </c>
      <c r="E90" s="5" t="e">
        <f>VLOOKUP($A90, 'Job Data'!$A$2:$P$220,14, FALSE)</f>
        <v>#N/A</v>
      </c>
      <c r="F90" s="1" t="e">
        <f>VLOOKUP($A90, 'Job Data'!$A$2:$P$220,15, FALSE)</f>
        <v>#N/A</v>
      </c>
      <c r="G90" s="16" t="e">
        <f t="shared" si="1"/>
        <v>#N/A</v>
      </c>
      <c r="H90" s="1"/>
    </row>
    <row r="91" spans="1:8" ht="24.65" customHeight="1">
      <c r="A91" s="5"/>
      <c r="B91" s="5"/>
      <c r="C91" s="5" t="e">
        <f>VLOOKUP($A91, 'Job Data'!$A$2:$P$220,2, FALSE)</f>
        <v>#N/A</v>
      </c>
      <c r="D91" s="5" t="e">
        <f>VLOOKUP($A91, 'Job Data'!$A$2:$P$220,3, FALSE)</f>
        <v>#N/A</v>
      </c>
      <c r="E91" s="5" t="e">
        <f>VLOOKUP($A91, 'Job Data'!$A$2:$P$220,14, FALSE)</f>
        <v>#N/A</v>
      </c>
      <c r="F91" s="1" t="e">
        <f>VLOOKUP($A91, 'Job Data'!$A$2:$P$220,15, FALSE)</f>
        <v>#N/A</v>
      </c>
      <c r="G91" s="16" t="e">
        <f t="shared" si="1"/>
        <v>#N/A</v>
      </c>
      <c r="H91" s="1"/>
    </row>
    <row r="92" spans="1:8" ht="24.65" customHeight="1">
      <c r="A92" s="5"/>
      <c r="B92" s="5"/>
      <c r="C92" s="5" t="e">
        <f>VLOOKUP($A92, 'Job Data'!$A$2:$P$220,2, FALSE)</f>
        <v>#N/A</v>
      </c>
      <c r="D92" s="5" t="e">
        <f>VLOOKUP($A92, 'Job Data'!$A$2:$P$220,3, FALSE)</f>
        <v>#N/A</v>
      </c>
      <c r="E92" s="5" t="e">
        <f>VLOOKUP($A92, 'Job Data'!$A$2:$P$220,14, FALSE)</f>
        <v>#N/A</v>
      </c>
      <c r="F92" s="1" t="e">
        <f>VLOOKUP($A92, 'Job Data'!$A$2:$P$220,15, FALSE)</f>
        <v>#N/A</v>
      </c>
      <c r="G92" s="16" t="e">
        <f t="shared" si="1"/>
        <v>#N/A</v>
      </c>
      <c r="H92" s="1"/>
    </row>
    <row r="93" spans="1:8" ht="24.65" customHeight="1">
      <c r="A93" s="5"/>
      <c r="B93" s="5"/>
      <c r="C93" s="5" t="e">
        <f>VLOOKUP($A93, 'Job Data'!$A$2:$P$220,2, FALSE)</f>
        <v>#N/A</v>
      </c>
      <c r="D93" s="5" t="e">
        <f>VLOOKUP($A93, 'Job Data'!$A$2:$P$220,3, FALSE)</f>
        <v>#N/A</v>
      </c>
      <c r="E93" s="5" t="e">
        <f>VLOOKUP($A93, 'Job Data'!$A$2:$P$220,14, FALSE)</f>
        <v>#N/A</v>
      </c>
      <c r="F93" s="1" t="e">
        <f>VLOOKUP($A93, 'Job Data'!$A$2:$P$220,15, FALSE)</f>
        <v>#N/A</v>
      </c>
      <c r="G93" s="16" t="e">
        <f t="shared" si="1"/>
        <v>#N/A</v>
      </c>
      <c r="H93" s="1"/>
    </row>
    <row r="94" spans="1:8" ht="24.65" customHeight="1">
      <c r="A94" s="5"/>
      <c r="B94" s="5"/>
      <c r="C94" s="5" t="e">
        <f>VLOOKUP($A94, 'Job Data'!$A$2:$P$220,2, FALSE)</f>
        <v>#N/A</v>
      </c>
      <c r="D94" s="5" t="e">
        <f>VLOOKUP($A94, 'Job Data'!$A$2:$P$220,3, FALSE)</f>
        <v>#N/A</v>
      </c>
      <c r="E94" s="5" t="e">
        <f>VLOOKUP($A94, 'Job Data'!$A$2:$P$220,14, FALSE)</f>
        <v>#N/A</v>
      </c>
      <c r="F94" s="1" t="e">
        <f>VLOOKUP($A94, 'Job Data'!$A$2:$P$220,15, FALSE)</f>
        <v>#N/A</v>
      </c>
      <c r="G94" s="16" t="e">
        <f t="shared" si="1"/>
        <v>#N/A</v>
      </c>
      <c r="H94" s="1"/>
    </row>
    <row r="95" spans="1:8" ht="24.65" customHeight="1">
      <c r="A95" s="5"/>
      <c r="B95" s="5"/>
      <c r="C95" s="5" t="e">
        <f>VLOOKUP($A95, 'Job Data'!$A$2:$P$220,2, FALSE)</f>
        <v>#N/A</v>
      </c>
      <c r="D95" s="5" t="e">
        <f>VLOOKUP($A95, 'Job Data'!$A$2:$P$220,3, FALSE)</f>
        <v>#N/A</v>
      </c>
      <c r="E95" s="5" t="e">
        <f>VLOOKUP($A95, 'Job Data'!$A$2:$P$220,14, FALSE)</f>
        <v>#N/A</v>
      </c>
      <c r="F95" s="1" t="e">
        <f>VLOOKUP($A95, 'Job Data'!$A$2:$P$220,15, FALSE)</f>
        <v>#N/A</v>
      </c>
      <c r="G95" s="16" t="e">
        <f t="shared" si="1"/>
        <v>#N/A</v>
      </c>
      <c r="H95" s="1"/>
    </row>
    <row r="96" spans="1:8" ht="24.65" customHeight="1">
      <c r="A96" s="5"/>
      <c r="B96" s="5"/>
      <c r="C96" s="5" t="e">
        <f>VLOOKUP($A96, 'Job Data'!$A$2:$P$220,2, FALSE)</f>
        <v>#N/A</v>
      </c>
      <c r="D96" s="5" t="e">
        <f>VLOOKUP($A96, 'Job Data'!$A$2:$P$220,3, FALSE)</f>
        <v>#N/A</v>
      </c>
      <c r="E96" s="5" t="e">
        <f>VLOOKUP($A96, 'Job Data'!$A$2:$P$220,14, FALSE)</f>
        <v>#N/A</v>
      </c>
      <c r="F96" s="1" t="e">
        <f>VLOOKUP($A96, 'Job Data'!$A$2:$P$220,15, FALSE)</f>
        <v>#N/A</v>
      </c>
      <c r="G96" s="16" t="e">
        <f t="shared" si="1"/>
        <v>#N/A</v>
      </c>
      <c r="H96" s="1"/>
    </row>
    <row r="97" spans="1:8" ht="24.65" customHeight="1">
      <c r="A97" s="5"/>
      <c r="B97" s="5"/>
      <c r="C97" s="5" t="e">
        <f>VLOOKUP($A97, 'Job Data'!$A$2:$P$220,2, FALSE)</f>
        <v>#N/A</v>
      </c>
      <c r="D97" s="5" t="e">
        <f>VLOOKUP($A97, 'Job Data'!$A$2:$P$220,3, FALSE)</f>
        <v>#N/A</v>
      </c>
      <c r="E97" s="5" t="e">
        <f>VLOOKUP($A97, 'Job Data'!$A$2:$P$220,14, FALSE)</f>
        <v>#N/A</v>
      </c>
      <c r="F97" s="1" t="e">
        <f>VLOOKUP($A97, 'Job Data'!$A$2:$P$220,15, FALSE)</f>
        <v>#N/A</v>
      </c>
      <c r="G97" s="16" t="e">
        <f t="shared" si="1"/>
        <v>#N/A</v>
      </c>
      <c r="H97" s="1"/>
    </row>
    <row r="98" spans="1:8" ht="24.65" customHeight="1">
      <c r="A98" s="5"/>
      <c r="B98" s="5"/>
      <c r="C98" s="5" t="e">
        <f>VLOOKUP($A98, 'Job Data'!$A$2:$P$220,2, FALSE)</f>
        <v>#N/A</v>
      </c>
      <c r="D98" s="5" t="e">
        <f>VLOOKUP($A98, 'Job Data'!$A$2:$P$220,3, FALSE)</f>
        <v>#N/A</v>
      </c>
      <c r="E98" s="5" t="e">
        <f>VLOOKUP($A98, 'Job Data'!$A$2:$P$220,14, FALSE)</f>
        <v>#N/A</v>
      </c>
      <c r="F98" s="1" t="e">
        <f>VLOOKUP($A98, 'Job Data'!$A$2:$P$220,15, FALSE)</f>
        <v>#N/A</v>
      </c>
      <c r="G98" s="16" t="e">
        <f t="shared" si="1"/>
        <v>#N/A</v>
      </c>
      <c r="H98" s="1"/>
    </row>
    <row r="99" spans="1:8" ht="24.65" customHeight="1">
      <c r="A99" s="5"/>
      <c r="B99" s="5"/>
      <c r="C99" s="5" t="e">
        <f>VLOOKUP($A99, 'Job Data'!$A$2:$P$220,2, FALSE)</f>
        <v>#N/A</v>
      </c>
      <c r="D99" s="5" t="e">
        <f>VLOOKUP($A99, 'Job Data'!$A$2:$P$220,3, FALSE)</f>
        <v>#N/A</v>
      </c>
      <c r="E99" s="5" t="e">
        <f>VLOOKUP($A99, 'Job Data'!$A$2:$P$220,14, FALSE)</f>
        <v>#N/A</v>
      </c>
      <c r="F99" s="1" t="e">
        <f>VLOOKUP($A99, 'Job Data'!$A$2:$P$220,15, FALSE)</f>
        <v>#N/A</v>
      </c>
      <c r="G99" s="16" t="e">
        <f t="shared" si="1"/>
        <v>#N/A</v>
      </c>
      <c r="H99" s="1"/>
    </row>
    <row r="100" spans="1:8" ht="24.65" customHeight="1">
      <c r="A100" s="5"/>
      <c r="B100" s="5"/>
      <c r="C100" s="5" t="e">
        <f>VLOOKUP($A100, 'Job Data'!$A$2:$P$220,2, FALSE)</f>
        <v>#N/A</v>
      </c>
      <c r="D100" s="5" t="e">
        <f>VLOOKUP($A100, 'Job Data'!$A$2:$P$220,3, FALSE)</f>
        <v>#N/A</v>
      </c>
      <c r="E100" s="5" t="e">
        <f>VLOOKUP($A100, 'Job Data'!$A$2:$P$220,14, FALSE)</f>
        <v>#N/A</v>
      </c>
      <c r="F100" s="1" t="e">
        <f>VLOOKUP($A100, 'Job Data'!$A$2:$P$220,15, FALSE)</f>
        <v>#N/A</v>
      </c>
      <c r="G100" s="16" t="e">
        <f t="shared" si="1"/>
        <v>#N/A</v>
      </c>
      <c r="H100" s="1"/>
    </row>
    <row r="101" spans="1:8" ht="24.65" customHeight="1">
      <c r="A101" s="5"/>
      <c r="B101" s="5"/>
      <c r="C101" s="5" t="e">
        <f>VLOOKUP($A101, 'Job Data'!$A$2:$P$220,2, FALSE)</f>
        <v>#N/A</v>
      </c>
      <c r="D101" s="5" t="e">
        <f>VLOOKUP($A101, 'Job Data'!$A$2:$P$220,3, FALSE)</f>
        <v>#N/A</v>
      </c>
      <c r="E101" s="5" t="e">
        <f>VLOOKUP($A101, 'Job Data'!$A$2:$P$220,14, FALSE)</f>
        <v>#N/A</v>
      </c>
      <c r="F101" s="1" t="e">
        <f>VLOOKUP($A101, 'Job Data'!$A$2:$P$220,15, FALSE)</f>
        <v>#N/A</v>
      </c>
      <c r="G101" s="16" t="e">
        <f t="shared" si="1"/>
        <v>#N/A</v>
      </c>
      <c r="H101" s="1"/>
    </row>
    <row r="102" spans="1:8" ht="24.65" customHeight="1">
      <c r="A102" s="5"/>
      <c r="B102" s="5"/>
      <c r="C102" s="5" t="e">
        <f>VLOOKUP($A102, 'Job Data'!$A$2:$P$220,2, FALSE)</f>
        <v>#N/A</v>
      </c>
      <c r="D102" s="5" t="e">
        <f>VLOOKUP($A102, 'Job Data'!$A$2:$P$220,3, FALSE)</f>
        <v>#N/A</v>
      </c>
      <c r="E102" s="5" t="e">
        <f>VLOOKUP($A102, 'Job Data'!$A$2:$P$220,14, FALSE)</f>
        <v>#N/A</v>
      </c>
      <c r="F102" s="1" t="e">
        <f>VLOOKUP($A102, 'Job Data'!$A$2:$P$220,15, FALSE)</f>
        <v>#N/A</v>
      </c>
      <c r="G102" s="16" t="e">
        <f t="shared" si="1"/>
        <v>#N/A</v>
      </c>
      <c r="H102" s="1"/>
    </row>
    <row r="103" spans="1:8" ht="24.65" customHeight="1">
      <c r="A103" s="5"/>
      <c r="B103" s="5"/>
      <c r="C103" s="5" t="e">
        <f>VLOOKUP($A103, 'Job Data'!$A$2:$P$220,2, FALSE)</f>
        <v>#N/A</v>
      </c>
      <c r="D103" s="5" t="e">
        <f>VLOOKUP($A103, 'Job Data'!$A$2:$P$220,3, FALSE)</f>
        <v>#N/A</v>
      </c>
      <c r="E103" s="5" t="e">
        <f>VLOOKUP($A103, 'Job Data'!$A$2:$P$220,14, FALSE)</f>
        <v>#N/A</v>
      </c>
      <c r="F103" s="1" t="e">
        <f>VLOOKUP($A103, 'Job Data'!$A$2:$P$220,15, FALSE)</f>
        <v>#N/A</v>
      </c>
      <c r="G103" s="16" t="e">
        <f t="shared" si="1"/>
        <v>#N/A</v>
      </c>
      <c r="H103" s="1"/>
    </row>
    <row r="104" spans="1:8" ht="24.65" customHeight="1">
      <c r="A104" s="5"/>
      <c r="B104" s="5"/>
      <c r="C104" s="5" t="e">
        <f>VLOOKUP($A104, 'Job Data'!$A$2:$P$220,2, FALSE)</f>
        <v>#N/A</v>
      </c>
      <c r="D104" s="5" t="e">
        <f>VLOOKUP($A104, 'Job Data'!$A$2:$P$220,3, FALSE)</f>
        <v>#N/A</v>
      </c>
      <c r="E104" s="5" t="e">
        <f>VLOOKUP($A104, 'Job Data'!$A$2:$P$220,14, FALSE)</f>
        <v>#N/A</v>
      </c>
      <c r="F104" s="1" t="e">
        <f>VLOOKUP($A104, 'Job Data'!$A$2:$P$220,15, FALSE)</f>
        <v>#N/A</v>
      </c>
      <c r="G104" s="16" t="e">
        <f t="shared" si="1"/>
        <v>#N/A</v>
      </c>
      <c r="H104" s="1"/>
    </row>
    <row r="105" spans="1:8" ht="24.65" customHeight="1">
      <c r="A105" s="5"/>
      <c r="B105" s="5"/>
      <c r="C105" s="5" t="e">
        <f>VLOOKUP($A105, 'Job Data'!$A$2:$P$220,2, FALSE)</f>
        <v>#N/A</v>
      </c>
      <c r="D105" s="5" t="e">
        <f>VLOOKUP($A105, 'Job Data'!$A$2:$P$220,3, FALSE)</f>
        <v>#N/A</v>
      </c>
      <c r="E105" s="5" t="e">
        <f>VLOOKUP($A105, 'Job Data'!$A$2:$P$220,14, FALSE)</f>
        <v>#N/A</v>
      </c>
      <c r="F105" s="1" t="e">
        <f>VLOOKUP($A105, 'Job Data'!$A$2:$P$220,15, FALSE)</f>
        <v>#N/A</v>
      </c>
      <c r="G105" s="16" t="e">
        <f t="shared" si="1"/>
        <v>#N/A</v>
      </c>
      <c r="H105" s="1"/>
    </row>
    <row r="106" spans="1:8" ht="24.65" customHeight="1">
      <c r="A106" s="5"/>
      <c r="B106" s="5"/>
      <c r="C106" s="5" t="e">
        <f>VLOOKUP($A106, 'Job Data'!$A$2:$P$220,2, FALSE)</f>
        <v>#N/A</v>
      </c>
      <c r="D106" s="5" t="e">
        <f>VLOOKUP($A106, 'Job Data'!$A$2:$P$220,3, FALSE)</f>
        <v>#N/A</v>
      </c>
      <c r="E106" s="5" t="e">
        <f>VLOOKUP($A106, 'Job Data'!$A$2:$P$220,14, FALSE)</f>
        <v>#N/A</v>
      </c>
      <c r="F106" s="1" t="e">
        <f>VLOOKUP($A106, 'Job Data'!$A$2:$P$220,15, FALSE)</f>
        <v>#N/A</v>
      </c>
      <c r="G106" s="16" t="e">
        <f t="shared" si="1"/>
        <v>#N/A</v>
      </c>
      <c r="H106" s="1"/>
    </row>
    <row r="107" spans="1:8" ht="24.65" customHeight="1">
      <c r="A107" s="5"/>
      <c r="B107" s="5"/>
      <c r="C107" s="5" t="e">
        <f>VLOOKUP($A107, 'Job Data'!$A$2:$P$220,2, FALSE)</f>
        <v>#N/A</v>
      </c>
      <c r="D107" s="5" t="e">
        <f>VLOOKUP($A107, 'Job Data'!$A$2:$P$220,3, FALSE)</f>
        <v>#N/A</v>
      </c>
      <c r="E107" s="5" t="e">
        <f>VLOOKUP($A107, 'Job Data'!$A$2:$P$220,14, FALSE)</f>
        <v>#N/A</v>
      </c>
      <c r="F107" s="1" t="e">
        <f>VLOOKUP($A107, 'Job Data'!$A$2:$P$220,15, FALSE)</f>
        <v>#N/A</v>
      </c>
      <c r="G107" s="16" t="e">
        <f t="shared" si="1"/>
        <v>#N/A</v>
      </c>
      <c r="H107" s="1"/>
    </row>
    <row r="108" spans="1:8" ht="24.65" customHeight="1">
      <c r="A108" s="5"/>
      <c r="B108" s="5"/>
      <c r="C108" s="5" t="e">
        <f>VLOOKUP($A108, 'Job Data'!$A$2:$P$220,2, FALSE)</f>
        <v>#N/A</v>
      </c>
      <c r="D108" s="5" t="e">
        <f>VLOOKUP($A108, 'Job Data'!$A$2:$P$220,3, FALSE)</f>
        <v>#N/A</v>
      </c>
      <c r="E108" s="5" t="e">
        <f>VLOOKUP($A108, 'Job Data'!$A$2:$P$220,14, FALSE)</f>
        <v>#N/A</v>
      </c>
      <c r="F108" s="1" t="e">
        <f>VLOOKUP($A108, 'Job Data'!$A$2:$P$220,15, FALSE)</f>
        <v>#N/A</v>
      </c>
      <c r="G108" s="16" t="e">
        <f t="shared" si="1"/>
        <v>#N/A</v>
      </c>
      <c r="H108" s="1"/>
    </row>
    <row r="109" spans="1:8" ht="24.65" customHeight="1">
      <c r="A109" s="5"/>
      <c r="B109" s="5"/>
      <c r="C109" s="5" t="e">
        <f>VLOOKUP($A109, 'Job Data'!$A$2:$P$220,2, FALSE)</f>
        <v>#N/A</v>
      </c>
      <c r="D109" s="5" t="e">
        <f>VLOOKUP($A109, 'Job Data'!$A$2:$P$220,3, FALSE)</f>
        <v>#N/A</v>
      </c>
      <c r="E109" s="5" t="e">
        <f>VLOOKUP($A109, 'Job Data'!$A$2:$P$220,14, FALSE)</f>
        <v>#N/A</v>
      </c>
      <c r="F109" s="1" t="e">
        <f>VLOOKUP($A109, 'Job Data'!$A$2:$P$220,15, FALSE)</f>
        <v>#N/A</v>
      </c>
      <c r="G109" s="16" t="e">
        <f t="shared" si="1"/>
        <v>#N/A</v>
      </c>
      <c r="H109" s="1"/>
    </row>
    <row r="110" spans="1:8" ht="24.65" customHeight="1">
      <c r="A110" s="5"/>
      <c r="B110" s="5"/>
      <c r="C110" s="5" t="e">
        <f>VLOOKUP($A110, 'Job Data'!$A$2:$P$220,2, FALSE)</f>
        <v>#N/A</v>
      </c>
      <c r="D110" s="5" t="e">
        <f>VLOOKUP($A110, 'Job Data'!$A$2:$P$220,3, FALSE)</f>
        <v>#N/A</v>
      </c>
      <c r="E110" s="5" t="e">
        <f>VLOOKUP($A110, 'Job Data'!$A$2:$P$220,14, FALSE)</f>
        <v>#N/A</v>
      </c>
      <c r="F110" s="1" t="e">
        <f>VLOOKUP($A110, 'Job Data'!$A$2:$P$220,15, FALSE)</f>
        <v>#N/A</v>
      </c>
      <c r="G110" s="16" t="e">
        <f t="shared" si="1"/>
        <v>#N/A</v>
      </c>
      <c r="H110" s="1"/>
    </row>
    <row r="111" spans="1:8" ht="24.65" customHeight="1">
      <c r="A111" s="5"/>
      <c r="B111" s="5"/>
      <c r="C111" s="5" t="e">
        <f>VLOOKUP($A111, 'Job Data'!$A$2:$P$220,2, FALSE)</f>
        <v>#N/A</v>
      </c>
      <c r="D111" s="5" t="e">
        <f>VLOOKUP($A111, 'Job Data'!$A$2:$P$220,3, FALSE)</f>
        <v>#N/A</v>
      </c>
      <c r="E111" s="5" t="e">
        <f>VLOOKUP($A111, 'Job Data'!$A$2:$P$220,14, FALSE)</f>
        <v>#N/A</v>
      </c>
      <c r="F111" s="1" t="e">
        <f>VLOOKUP($A111, 'Job Data'!$A$2:$P$220,15, FALSE)</f>
        <v>#N/A</v>
      </c>
      <c r="G111" s="16" t="e">
        <f t="shared" si="1"/>
        <v>#N/A</v>
      </c>
      <c r="H111" s="1"/>
    </row>
    <row r="112" spans="1:8" ht="24.65" customHeight="1">
      <c r="A112" s="5"/>
      <c r="B112" s="5"/>
      <c r="C112" s="5" t="e">
        <f>VLOOKUP($A112, 'Job Data'!$A$2:$P$220,2, FALSE)</f>
        <v>#N/A</v>
      </c>
      <c r="D112" s="5" t="e">
        <f>VLOOKUP($A112, 'Job Data'!$A$2:$P$220,3, FALSE)</f>
        <v>#N/A</v>
      </c>
      <c r="E112" s="5" t="e">
        <f>VLOOKUP($A112, 'Job Data'!$A$2:$P$220,14, FALSE)</f>
        <v>#N/A</v>
      </c>
      <c r="F112" s="1" t="e">
        <f>VLOOKUP($A112, 'Job Data'!$A$2:$P$220,15, FALSE)</f>
        <v>#N/A</v>
      </c>
      <c r="G112" s="16" t="e">
        <f t="shared" si="1"/>
        <v>#N/A</v>
      </c>
      <c r="H112" s="1"/>
    </row>
    <row r="113" spans="1:8" ht="24.65" customHeight="1">
      <c r="A113" s="5"/>
      <c r="B113" s="5"/>
      <c r="C113" s="5" t="e">
        <f>VLOOKUP($A113, 'Job Data'!$A$2:$P$220,2, FALSE)</f>
        <v>#N/A</v>
      </c>
      <c r="D113" s="5" t="e">
        <f>VLOOKUP($A113, 'Job Data'!$A$2:$P$220,3, FALSE)</f>
        <v>#N/A</v>
      </c>
      <c r="E113" s="5" t="e">
        <f>VLOOKUP($A113, 'Job Data'!$A$2:$P$220,14, FALSE)</f>
        <v>#N/A</v>
      </c>
      <c r="F113" s="1" t="e">
        <f>VLOOKUP($A113, 'Job Data'!$A$2:$P$220,15, FALSE)</f>
        <v>#N/A</v>
      </c>
      <c r="G113" s="16" t="e">
        <f t="shared" si="1"/>
        <v>#N/A</v>
      </c>
      <c r="H113" s="1"/>
    </row>
    <row r="114" spans="1:8" ht="24.65" customHeight="1">
      <c r="A114" s="5"/>
      <c r="B114" s="5"/>
      <c r="C114" s="5" t="e">
        <f>VLOOKUP($A114, 'Job Data'!$A$2:$P$220,2, FALSE)</f>
        <v>#N/A</v>
      </c>
      <c r="D114" s="5" t="e">
        <f>VLOOKUP($A114, 'Job Data'!$A$2:$P$220,3, FALSE)</f>
        <v>#N/A</v>
      </c>
      <c r="E114" s="5" t="e">
        <f>VLOOKUP($A114, 'Job Data'!$A$2:$P$220,14, FALSE)</f>
        <v>#N/A</v>
      </c>
      <c r="F114" s="1" t="e">
        <f>VLOOKUP($A114, 'Job Data'!$A$2:$P$220,15, FALSE)</f>
        <v>#N/A</v>
      </c>
      <c r="G114" s="16" t="e">
        <f t="shared" si="1"/>
        <v>#N/A</v>
      </c>
      <c r="H114" s="1"/>
    </row>
    <row r="115" spans="1:8" ht="24.65" customHeight="1">
      <c r="A115" s="5"/>
      <c r="B115" s="5"/>
      <c r="C115" s="5" t="e">
        <f>VLOOKUP($A115, 'Job Data'!$A$2:$P$220,2, FALSE)</f>
        <v>#N/A</v>
      </c>
      <c r="D115" s="5" t="e">
        <f>VLOOKUP($A115, 'Job Data'!$A$2:$P$220,3, FALSE)</f>
        <v>#N/A</v>
      </c>
      <c r="E115" s="5" t="e">
        <f>VLOOKUP($A115, 'Job Data'!$A$2:$P$220,14, FALSE)</f>
        <v>#N/A</v>
      </c>
      <c r="F115" s="1" t="e">
        <f>VLOOKUP($A115, 'Job Data'!$A$2:$P$220,15, FALSE)</f>
        <v>#N/A</v>
      </c>
      <c r="G115" s="16" t="e">
        <f t="shared" si="1"/>
        <v>#N/A</v>
      </c>
      <c r="H115" s="1"/>
    </row>
    <row r="116" spans="1:8" ht="24.65" customHeight="1">
      <c r="A116" s="5"/>
      <c r="B116" s="5"/>
      <c r="C116" s="5" t="e">
        <f>VLOOKUP($A116, 'Job Data'!$A$2:$P$220,2, FALSE)</f>
        <v>#N/A</v>
      </c>
      <c r="D116" s="5" t="e">
        <f>VLOOKUP($A116, 'Job Data'!$A$2:$P$220,3, FALSE)</f>
        <v>#N/A</v>
      </c>
      <c r="E116" s="5" t="e">
        <f>VLOOKUP($A116, 'Job Data'!$A$2:$P$220,14, FALSE)</f>
        <v>#N/A</v>
      </c>
      <c r="F116" s="1" t="e">
        <f>VLOOKUP($A116, 'Job Data'!$A$2:$P$220,15, FALSE)</f>
        <v>#N/A</v>
      </c>
      <c r="G116" s="16" t="e">
        <f t="shared" si="1"/>
        <v>#N/A</v>
      </c>
      <c r="H116" s="1"/>
    </row>
    <row r="117" spans="1:8" ht="24.65" customHeight="1">
      <c r="A117" s="5"/>
      <c r="B117" s="5"/>
      <c r="C117" s="5" t="e">
        <f>VLOOKUP($A117, 'Job Data'!$A$2:$P$220,2, FALSE)</f>
        <v>#N/A</v>
      </c>
      <c r="D117" s="5" t="e">
        <f>VLOOKUP($A117, 'Job Data'!$A$2:$P$220,3, FALSE)</f>
        <v>#N/A</v>
      </c>
      <c r="E117" s="5" t="e">
        <f>VLOOKUP($A117, 'Job Data'!$A$2:$P$220,14, FALSE)</f>
        <v>#N/A</v>
      </c>
      <c r="F117" s="1" t="e">
        <f>VLOOKUP($A117, 'Job Data'!$A$2:$P$220,15, FALSE)</f>
        <v>#N/A</v>
      </c>
      <c r="G117" s="16" t="e">
        <f t="shared" si="1"/>
        <v>#N/A</v>
      </c>
      <c r="H117" s="1"/>
    </row>
    <row r="118" spans="1:8" ht="24.65" customHeight="1">
      <c r="A118" s="5"/>
      <c r="B118" s="5"/>
      <c r="C118" s="5" t="e">
        <f>VLOOKUP($A118, 'Job Data'!$A$2:$P$220,2, FALSE)</f>
        <v>#N/A</v>
      </c>
      <c r="D118" s="5" t="e">
        <f>VLOOKUP($A118, 'Job Data'!$A$2:$P$220,3, FALSE)</f>
        <v>#N/A</v>
      </c>
      <c r="E118" s="5" t="e">
        <f>VLOOKUP($A118, 'Job Data'!$A$2:$P$220,14, FALSE)</f>
        <v>#N/A</v>
      </c>
      <c r="F118" s="1" t="e">
        <f>VLOOKUP($A118, 'Job Data'!$A$2:$P$220,15, FALSE)</f>
        <v>#N/A</v>
      </c>
      <c r="G118" s="16" t="e">
        <f t="shared" si="1"/>
        <v>#N/A</v>
      </c>
      <c r="H118" s="1"/>
    </row>
    <row r="119" spans="1:8" ht="24.65" customHeight="1">
      <c r="A119" s="5"/>
      <c r="B119" s="5"/>
      <c r="C119" s="5" t="e">
        <f>VLOOKUP($A119, 'Job Data'!$A$2:$P$220,2, FALSE)</f>
        <v>#N/A</v>
      </c>
      <c r="D119" s="5" t="e">
        <f>VLOOKUP($A119, 'Job Data'!$A$2:$P$220,3, FALSE)</f>
        <v>#N/A</v>
      </c>
      <c r="E119" s="5" t="e">
        <f>VLOOKUP($A119, 'Job Data'!$A$2:$P$220,14, FALSE)</f>
        <v>#N/A</v>
      </c>
      <c r="F119" s="1" t="e">
        <f>VLOOKUP($A119, 'Job Data'!$A$2:$P$220,15, FALSE)</f>
        <v>#N/A</v>
      </c>
      <c r="G119" s="16" t="e">
        <f t="shared" si="1"/>
        <v>#N/A</v>
      </c>
      <c r="H119" s="1"/>
    </row>
    <row r="120" spans="1:8" ht="24.65" customHeight="1">
      <c r="A120" s="5"/>
      <c r="B120" s="5"/>
      <c r="C120" s="5" t="e">
        <f>VLOOKUP($A120, 'Job Data'!$A$2:$P$220,2, FALSE)</f>
        <v>#N/A</v>
      </c>
      <c r="D120" s="5" t="e">
        <f>VLOOKUP($A120, 'Job Data'!$A$2:$P$220,3, FALSE)</f>
        <v>#N/A</v>
      </c>
      <c r="E120" s="5" t="e">
        <f>VLOOKUP($A120, 'Job Data'!$A$2:$P$220,14, FALSE)</f>
        <v>#N/A</v>
      </c>
      <c r="F120" s="1" t="e">
        <f>VLOOKUP($A120, 'Job Data'!$A$2:$P$220,15, FALSE)</f>
        <v>#N/A</v>
      </c>
      <c r="G120" s="16" t="e">
        <f t="shared" si="1"/>
        <v>#N/A</v>
      </c>
      <c r="H120" s="1"/>
    </row>
    <row r="121" spans="1:8" ht="24.65" customHeight="1">
      <c r="A121" s="5"/>
      <c r="B121" s="5"/>
      <c r="C121" s="5" t="e">
        <f>VLOOKUP($A121, 'Job Data'!$A$2:$P$220,2, FALSE)</f>
        <v>#N/A</v>
      </c>
      <c r="D121" s="5" t="e">
        <f>VLOOKUP($A121, 'Job Data'!$A$2:$P$220,3, FALSE)</f>
        <v>#N/A</v>
      </c>
      <c r="E121" s="5" t="e">
        <f>VLOOKUP($A121, 'Job Data'!$A$2:$P$220,14, FALSE)</f>
        <v>#N/A</v>
      </c>
      <c r="F121" s="1" t="e">
        <f>VLOOKUP($A121, 'Job Data'!$A$2:$P$220,15, FALSE)</f>
        <v>#N/A</v>
      </c>
      <c r="G121" s="16" t="e">
        <f t="shared" si="1"/>
        <v>#N/A</v>
      </c>
      <c r="H121" s="1"/>
    </row>
    <row r="122" spans="1:8" ht="24.65" customHeight="1">
      <c r="A122" s="5"/>
      <c r="B122" s="5"/>
      <c r="C122" s="5" t="e">
        <f>VLOOKUP($A122, 'Job Data'!$A$2:$P$220,2, FALSE)</f>
        <v>#N/A</v>
      </c>
      <c r="D122" s="5" t="e">
        <f>VLOOKUP($A122, 'Job Data'!$A$2:$P$220,3, FALSE)</f>
        <v>#N/A</v>
      </c>
      <c r="E122" s="5" t="e">
        <f>VLOOKUP($A122, 'Job Data'!$A$2:$P$220,14, FALSE)</f>
        <v>#N/A</v>
      </c>
      <c r="F122" s="1" t="e">
        <f>VLOOKUP($A122, 'Job Data'!$A$2:$P$220,15, FALSE)</f>
        <v>#N/A</v>
      </c>
      <c r="G122" s="16" t="e">
        <f t="shared" si="1"/>
        <v>#N/A</v>
      </c>
      <c r="H122" s="1"/>
    </row>
    <row r="123" spans="1:8" ht="24.65" customHeight="1">
      <c r="A123" s="5"/>
      <c r="B123" s="5"/>
      <c r="C123" s="5" t="e">
        <f>VLOOKUP($A123, 'Job Data'!$A$2:$P$220,2, FALSE)</f>
        <v>#N/A</v>
      </c>
      <c r="D123" s="5" t="e">
        <f>VLOOKUP($A123, 'Job Data'!$A$2:$P$220,3, FALSE)</f>
        <v>#N/A</v>
      </c>
      <c r="E123" s="5" t="e">
        <f>VLOOKUP($A123, 'Job Data'!$A$2:$P$220,14, FALSE)</f>
        <v>#N/A</v>
      </c>
      <c r="F123" s="1" t="e">
        <f>VLOOKUP($A123, 'Job Data'!$A$2:$P$220,15, FALSE)</f>
        <v>#N/A</v>
      </c>
      <c r="G123" s="16" t="e">
        <f t="shared" si="1"/>
        <v>#N/A</v>
      </c>
      <c r="H123" s="1"/>
    </row>
    <row r="124" spans="1:8" ht="24.65" customHeight="1">
      <c r="A124" s="5"/>
      <c r="B124" s="5"/>
      <c r="C124" s="5" t="e">
        <f>VLOOKUP($A124, 'Job Data'!$A$2:$P$220,2, FALSE)</f>
        <v>#N/A</v>
      </c>
      <c r="D124" s="5" t="e">
        <f>VLOOKUP($A124, 'Job Data'!$A$2:$P$220,3, FALSE)</f>
        <v>#N/A</v>
      </c>
      <c r="E124" s="5" t="e">
        <f>VLOOKUP($A124, 'Job Data'!$A$2:$P$220,14, FALSE)</f>
        <v>#N/A</v>
      </c>
      <c r="F124" s="1" t="e">
        <f>VLOOKUP($A124, 'Job Data'!$A$2:$P$220,15, FALSE)</f>
        <v>#N/A</v>
      </c>
      <c r="G124" s="16" t="e">
        <f t="shared" si="1"/>
        <v>#N/A</v>
      </c>
      <c r="H124" s="1"/>
    </row>
    <row r="125" spans="1:8">
      <c r="A125" s="1"/>
      <c r="B125" s="1"/>
      <c r="C125" s="1"/>
      <c r="D125" s="1"/>
      <c r="E125" s="1"/>
      <c r="F125" s="1"/>
      <c r="G125" s="12"/>
      <c r="H125" s="1"/>
    </row>
    <row r="126" spans="1:8">
      <c r="A126" s="1"/>
      <c r="B126" s="1"/>
      <c r="C126" s="1"/>
      <c r="D126" s="1"/>
      <c r="E126" s="1"/>
      <c r="F126" s="1"/>
      <c r="G126" s="12"/>
      <c r="H126" s="1"/>
    </row>
    <row r="127" spans="1:8">
      <c r="A127" s="1"/>
      <c r="B127" s="1"/>
      <c r="C127" s="1"/>
      <c r="D127" s="1"/>
      <c r="E127" s="1"/>
      <c r="F127" s="1"/>
      <c r="G127" s="12"/>
      <c r="H127" s="1"/>
    </row>
    <row r="128" spans="1:8">
      <c r="A128" s="1"/>
      <c r="B128" s="1"/>
      <c r="C128" s="1"/>
      <c r="D128" s="1"/>
      <c r="E128" s="1"/>
      <c r="F128" s="1"/>
      <c r="G128" s="12"/>
      <c r="H128" s="1"/>
    </row>
    <row r="129" spans="1:8">
      <c r="A129" s="1"/>
      <c r="B129" s="1"/>
      <c r="C129" s="1"/>
      <c r="D129" s="1"/>
      <c r="E129" s="1"/>
      <c r="F129" s="1"/>
      <c r="G129" s="12"/>
      <c r="H129" s="1"/>
    </row>
    <row r="130" spans="1:8">
      <c r="A130" s="1"/>
      <c r="B130" s="1"/>
      <c r="C130" s="1"/>
      <c r="D130" s="1"/>
      <c r="E130" s="1"/>
      <c r="F130" s="1"/>
      <c r="G130" s="1"/>
      <c r="H130" s="1"/>
    </row>
    <row r="131" spans="1:8">
      <c r="A131" s="1"/>
      <c r="B131" s="1"/>
      <c r="C131" s="1"/>
      <c r="D131" s="1"/>
      <c r="E131" s="1"/>
      <c r="F131" s="1"/>
      <c r="G131" s="1"/>
      <c r="H131" s="1"/>
    </row>
    <row r="132" spans="1:8">
      <c r="A132" s="1"/>
      <c r="B132" s="1"/>
      <c r="C132" s="1"/>
      <c r="D132" s="1"/>
      <c r="E132" s="1"/>
      <c r="F132" s="1"/>
      <c r="G132" s="1"/>
      <c r="H132" s="1"/>
    </row>
    <row r="133" spans="1:8">
      <c r="A133" s="1"/>
      <c r="B133" s="1"/>
      <c r="C133" s="1"/>
      <c r="D133" s="1"/>
      <c r="E133" s="1"/>
      <c r="F133" s="1"/>
      <c r="G133" s="1"/>
      <c r="H133" s="1"/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EFB76-5312-45A7-B699-1906EE988117}">
  <sheetPr codeName="Sheet5"/>
  <dimension ref="A1:H133"/>
  <sheetViews>
    <sheetView zoomScale="80" zoomScaleNormal="80" workbookViewId="0">
      <selection activeCell="G7" sqref="G7"/>
    </sheetView>
  </sheetViews>
  <sheetFormatPr defaultRowHeight="14.5"/>
  <cols>
    <col min="1" max="1" width="19.453125" bestFit="1" customWidth="1"/>
    <col min="2" max="2" width="18.453125" bestFit="1" customWidth="1"/>
    <col min="3" max="3" width="26.453125" customWidth="1"/>
    <col min="4" max="4" width="37.453125" customWidth="1"/>
    <col min="5" max="5" width="50.453125" customWidth="1"/>
    <col min="6" max="6" width="37.1796875" hidden="1" customWidth="1"/>
    <col min="7" max="7" width="83" customWidth="1"/>
    <col min="8" max="8" width="19.453125" bestFit="1" customWidth="1"/>
    <col min="9" max="9" width="18.453125" bestFit="1" customWidth="1"/>
    <col min="10" max="10" width="37.1796875" bestFit="1" customWidth="1"/>
    <col min="11" max="11" width="13.453125" bestFit="1" customWidth="1"/>
    <col min="12" max="12" width="21" bestFit="1" customWidth="1"/>
    <col min="13" max="13" width="20.1796875" bestFit="1" customWidth="1"/>
    <col min="14" max="14" width="12" bestFit="1" customWidth="1"/>
    <col min="15" max="15" width="21.1796875" bestFit="1" customWidth="1"/>
    <col min="16" max="16" width="7.81640625" bestFit="1" customWidth="1"/>
    <col min="17" max="17" width="11.453125" bestFit="1" customWidth="1"/>
    <col min="18" max="18" width="29.453125" bestFit="1" customWidth="1"/>
    <col min="19" max="19" width="27.81640625" bestFit="1" customWidth="1"/>
    <col min="20" max="20" width="31.453125" bestFit="1" customWidth="1"/>
    <col min="21" max="21" width="14.453125" bestFit="1" customWidth="1"/>
    <col min="22" max="22" width="21.1796875" bestFit="1" customWidth="1"/>
    <col min="23" max="23" width="14.453125" bestFit="1" customWidth="1"/>
    <col min="24" max="24" width="10.453125" bestFit="1" customWidth="1"/>
    <col min="25" max="25" width="9.453125" bestFit="1" customWidth="1"/>
    <col min="26" max="26" width="7.1796875" bestFit="1" customWidth="1"/>
    <col min="27" max="27" width="6.453125" bestFit="1" customWidth="1"/>
    <col min="28" max="28" width="4.1796875" bestFit="1" customWidth="1"/>
    <col min="29" max="29" width="11.453125" bestFit="1" customWidth="1"/>
    <col min="30" max="30" width="17.453125" bestFit="1" customWidth="1"/>
    <col min="31" max="31" width="5" bestFit="1" customWidth="1"/>
    <col min="32" max="32" width="7.1796875" bestFit="1" customWidth="1"/>
    <col min="33" max="33" width="8.1796875" bestFit="1" customWidth="1"/>
    <col min="34" max="35" width="9.453125" bestFit="1" customWidth="1"/>
    <col min="36" max="36" width="7.1796875" bestFit="1" customWidth="1"/>
    <col min="37" max="37" width="6.453125" bestFit="1" customWidth="1"/>
    <col min="38" max="38" width="4.1796875" bestFit="1" customWidth="1"/>
    <col min="39" max="39" width="11.453125" bestFit="1" customWidth="1"/>
    <col min="40" max="40" width="15.81640625" bestFit="1" customWidth="1"/>
    <col min="41" max="41" width="5" bestFit="1" customWidth="1"/>
    <col min="42" max="42" width="7.1796875" bestFit="1" customWidth="1"/>
    <col min="43" max="43" width="8.1796875" bestFit="1" customWidth="1"/>
    <col min="44" max="45" width="9.453125" bestFit="1" customWidth="1"/>
    <col min="46" max="46" width="7.1796875" bestFit="1" customWidth="1"/>
    <col min="47" max="47" width="6.453125" bestFit="1" customWidth="1"/>
    <col min="48" max="48" width="4.1796875" bestFit="1" customWidth="1"/>
    <col min="49" max="49" width="11.453125" bestFit="1" customWidth="1"/>
    <col min="50" max="50" width="15.81640625" bestFit="1" customWidth="1"/>
    <col min="51" max="51" width="5" bestFit="1" customWidth="1"/>
    <col min="52" max="52" width="7.1796875" bestFit="1" customWidth="1"/>
    <col min="53" max="53" width="8.1796875" bestFit="1" customWidth="1"/>
    <col min="54" max="55" width="9.453125" bestFit="1" customWidth="1"/>
    <col min="56" max="56" width="7.1796875" bestFit="1" customWidth="1"/>
    <col min="57" max="57" width="6.453125" bestFit="1" customWidth="1"/>
    <col min="58" max="58" width="4.1796875" bestFit="1" customWidth="1"/>
    <col min="59" max="59" width="11.453125" bestFit="1" customWidth="1"/>
    <col min="60" max="60" width="40.81640625" bestFit="1" customWidth="1"/>
    <col min="61" max="61" width="43.453125" bestFit="1" customWidth="1"/>
    <col min="62" max="62" width="18.453125" bestFit="1" customWidth="1"/>
    <col min="63" max="63" width="22.1796875" bestFit="1" customWidth="1"/>
    <col min="64" max="64" width="19.453125" bestFit="1" customWidth="1"/>
    <col min="65" max="65" width="20.453125" bestFit="1" customWidth="1"/>
    <col min="66" max="124" width="38.81640625" bestFit="1" customWidth="1"/>
    <col min="125" max="125" width="40.81640625" bestFit="1" customWidth="1"/>
    <col min="126" max="126" width="43.453125" bestFit="1" customWidth="1"/>
    <col min="127" max="127" width="18.453125" bestFit="1" customWidth="1"/>
    <col min="128" max="128" width="22.1796875" bestFit="1" customWidth="1"/>
    <col min="129" max="129" width="19.453125" bestFit="1" customWidth="1"/>
    <col min="130" max="130" width="20.453125" bestFit="1" customWidth="1"/>
    <col min="131" max="256" width="38.81640625" bestFit="1" customWidth="1"/>
    <col min="257" max="257" width="40.81640625" bestFit="1" customWidth="1"/>
    <col min="258" max="258" width="43.453125" bestFit="1" customWidth="1"/>
    <col min="259" max="259" width="18.453125" bestFit="1" customWidth="1"/>
    <col min="260" max="260" width="22.1796875" bestFit="1" customWidth="1"/>
    <col min="261" max="261" width="19.453125" bestFit="1" customWidth="1"/>
    <col min="262" max="263" width="20.453125" bestFit="1" customWidth="1"/>
  </cols>
  <sheetData>
    <row r="1" spans="1:8" ht="30" customHeight="1">
      <c r="A1" s="23" t="s">
        <v>8</v>
      </c>
      <c r="B1" s="22" t="s">
        <v>193</v>
      </c>
    </row>
    <row r="2" spans="1:8" ht="30" customHeight="1">
      <c r="A2" s="23" t="s">
        <v>5</v>
      </c>
      <c r="B2" s="22" t="s">
        <v>193</v>
      </c>
    </row>
    <row r="3" spans="1:8" ht="30" customHeight="1">
      <c r="A3" s="23" t="s">
        <v>2</v>
      </c>
      <c r="B3" s="22" t="s">
        <v>63</v>
      </c>
    </row>
    <row r="4" spans="1:8" ht="30" customHeight="1">
      <c r="A4" s="23" t="s">
        <v>3</v>
      </c>
      <c r="B4" s="22" t="s">
        <v>193</v>
      </c>
    </row>
    <row r="6" spans="1:8" ht="18.5">
      <c r="A6" s="20" t="s">
        <v>194</v>
      </c>
      <c r="B6" s="21" t="s">
        <v>195</v>
      </c>
      <c r="C6" s="17" t="s">
        <v>2</v>
      </c>
      <c r="D6" s="17" t="s">
        <v>3</v>
      </c>
      <c r="E6" s="17" t="s">
        <v>14</v>
      </c>
      <c r="F6" s="1"/>
      <c r="G6" s="12"/>
    </row>
    <row r="7" spans="1:8">
      <c r="A7" s="24" t="s">
        <v>201</v>
      </c>
      <c r="B7" s="24">
        <v>1</v>
      </c>
      <c r="C7" s="7" t="str">
        <f>IFERROR(VLOOKUP($A7, 'Job Data'!$A$2:$P$220,2, FALSE), " ")</f>
        <v>FMG</v>
      </c>
      <c r="D7" s="7" t="str">
        <f>IFERROR(VLOOKUP($A7,'Job Data'!$A$2:$P$220,3,FALSE)," ")</f>
        <v>Christmas Creek </v>
      </c>
      <c r="E7" s="7" t="str">
        <f>IFERROR(VLOOKUP($A7,'Job Data'!$A$2:$P$220,14,FALSE)," ")</f>
        <v>AP0001 Spare Parts</v>
      </c>
      <c r="F7" s="1" t="str">
        <f>VLOOKUP($A7, 'Job Data'!$A$2:$P$220,15, FALSE)</f>
        <v>C:\Users\wubia\OneDrive - Longi Magnet Australia Pty ltd\Documents - Longi Australia\03 Project Management\Client\FMG\Christmas Creek \AP0001 Spare Parts</v>
      </c>
      <c r="G7" s="16" t="str">
        <f>IFERROR(HYPERLINK(SUBSTITUTE(SUBSTITUTE(F7,"C:\Users\wubia\OneDrive - Longi Magnet Australia Pty ltd\Documents - Longi Australia","C:\Users\wubia\Longi Magnet Australia Pty ltd\Longi Australia - Documents"),"\\","\\"),"Open Project Folder")," ")</f>
        <v>Open Project Folder</v>
      </c>
      <c r="H7" s="1"/>
    </row>
    <row r="8" spans="1:8">
      <c r="A8" s="24" t="s">
        <v>205</v>
      </c>
      <c r="B8" s="24">
        <v>1</v>
      </c>
      <c r="C8" s="7" t="str">
        <f>IFERROR(VLOOKUP($A8, 'Job Data'!$A$2:$P$220,2, FALSE), " ")</f>
        <v>FMG</v>
      </c>
      <c r="D8" s="7" t="str">
        <f>IFERROR(VLOOKUP($A8,'Job Data'!$A$2:$P$220,3,FALSE)," ")</f>
        <v>Iron Bridge</v>
      </c>
      <c r="E8" s="7" t="str">
        <f>IFERROR(VLOOKUP($A8,'Job Data'!$A$2:$P$220,14,FALSE)," ")</f>
        <v>AQ0005 IB Spray bar</v>
      </c>
      <c r="F8" s="1" t="str">
        <f>VLOOKUP($A8, 'Job Data'!$A$2:$P$220,15, FALSE)</f>
        <v>C:\Users\wubia\OneDrive - Longi Magnet Australia Pty ltd\Documents - Longi Australia\03 Project Management\Client\FMG\Iron Bridge\AQ0005 IB Spray bar</v>
      </c>
      <c r="G8" s="16" t="str">
        <f>IFERROR(HYPERLINK(SUBSTITUTE(SUBSTITUTE(F8,"C:\Users\wubia\OneDrive - Longi Magnet Australia Pty ltd\Documents - Longi Australia","C:\Users\wubia\OneDrive - Longi Magnet Australia Pty ltd\Documents - Longi Australia"),"\\","\\"),"Open Project Folder")," ")</f>
        <v>Open Project Folder</v>
      </c>
      <c r="H8" s="1"/>
    </row>
    <row r="9" spans="1:8">
      <c r="A9" s="24" t="s">
        <v>208</v>
      </c>
      <c r="B9" s="24">
        <v>1</v>
      </c>
      <c r="C9" s="7" t="str">
        <f>IFERROR(VLOOKUP($A9, 'Job Data'!$A$2:$P$220,2, FALSE), " ")</f>
        <v>FMG</v>
      </c>
      <c r="D9" s="7" t="str">
        <f>IFERROR(VLOOKUP($A9,'Job Data'!$A$2:$P$220,3,FALSE)," ")</f>
        <v>Iron Bridge</v>
      </c>
      <c r="E9" s="7" t="str">
        <f>IFERROR(VLOOKUP($A9,'Job Data'!$A$2:$P$220,14,FALSE)," ")</f>
        <v>AQ0012 dewater drum replacement</v>
      </c>
      <c r="F9" s="1" t="str">
        <f>VLOOKUP($A9, 'Job Data'!$A$2:$P$220,15, FALSE)</f>
        <v>C:\Users\wubia\OneDrive - Longi Magnet Australia Pty ltd\Documents - Longi Australia\03 Project Management\Client\FMG\Iron Bridge\AQ0012 dewater drum replacement</v>
      </c>
      <c r="G9" s="16" t="str">
        <f t="shared" ref="G9:G72" si="0">IFERROR(HYPERLINK(SUBSTITUTE(SUBSTITUTE(F9,"C:\Users\wubia\OneDrive - Longi Magnet Australia Pty ltd\Documents - Longi Australia","C:\Users\wubia\OneDrive - Longi Magnet Australia Pty ltd\Documents - Longi Australia"),"\\","\\"),"Open Project Folder")," ")</f>
        <v>Open Project Folder</v>
      </c>
      <c r="H9" s="1"/>
    </row>
    <row r="10" spans="1:8">
      <c r="A10" s="24" t="s">
        <v>213</v>
      </c>
      <c r="B10" s="24">
        <v>1</v>
      </c>
      <c r="C10" s="7" t="str">
        <f>IFERROR(VLOOKUP($A10, 'Job Data'!$A$2:$P$220,2, FALSE), " ")</f>
        <v>FMG</v>
      </c>
      <c r="D10" s="7" t="str">
        <f>IFERROR(VLOOKUP($A10,'Job Data'!$A$2:$P$220,3,FALSE)," ")</f>
        <v>Iron Bridge</v>
      </c>
      <c r="E10" s="7" t="str">
        <f>IFERROR(VLOOKUP($A10,'Job Data'!$A$2:$P$220,14,FALSE)," ")</f>
        <v>AT0007 LJC Testwork</v>
      </c>
      <c r="F10" s="1" t="str">
        <f>VLOOKUP($A10, 'Job Data'!$A$2:$P$220,15, FALSE)</f>
        <v>C:\Users\wubia\OneDrive - Longi Magnet Australia Pty ltd\Documents - Longi Australia\03 Project Management\Client\FMG\Iron Bridge\AT0007 LJC Testwork</v>
      </c>
      <c r="G10" s="16" t="str">
        <f t="shared" si="0"/>
        <v>Open Project Folder</v>
      </c>
      <c r="H10" s="1"/>
    </row>
    <row r="11" spans="1:8">
      <c r="A11" s="24" t="s">
        <v>214</v>
      </c>
      <c r="B11" s="24">
        <v>1</v>
      </c>
      <c r="C11" s="7" t="str">
        <f>IFERROR(VLOOKUP($A11, 'Job Data'!$A$2:$P$220,2, FALSE), " ")</f>
        <v>FMG</v>
      </c>
      <c r="D11" s="7" t="str">
        <f>IFERROR(VLOOKUP($A11,'Job Data'!$A$2:$P$220,3,FALSE)," ")</f>
        <v>Cloudbreak</v>
      </c>
      <c r="E11" s="7" t="str">
        <f>IFERROR(VLOOKUP($A11,'Job Data'!$A$2:$P$220,14,FALSE)," ")</f>
        <v>AT0008 WHIMS Testwork</v>
      </c>
      <c r="F11" s="1" t="str">
        <f>VLOOKUP($A11, 'Job Data'!$A$2:$P$220,15, FALSE)</f>
        <v>C:\Users\wubia\OneDrive - Longi Magnet Australia Pty ltd\Documents - Longi Australia\03 Project Management\Client\FMG\Cloudbreak\AT0008 WHIMS Testwork</v>
      </c>
      <c r="G11" s="16" t="str">
        <f t="shared" si="0"/>
        <v>Open Project Folder</v>
      </c>
      <c r="H11" s="1"/>
    </row>
    <row r="12" spans="1:8">
      <c r="A12" s="24" t="s">
        <v>215</v>
      </c>
      <c r="B12" s="24">
        <v>1</v>
      </c>
      <c r="C12" s="7" t="str">
        <f>IFERROR(VLOOKUP($A12, 'Job Data'!$A$2:$P$220,2, FALSE), " ")</f>
        <v>FMG</v>
      </c>
      <c r="D12" s="7" t="str">
        <f>IFERROR(VLOOKUP($A12,'Job Data'!$A$2:$P$220,3,FALSE)," ")</f>
        <v>Solomon</v>
      </c>
      <c r="E12" s="7" t="str">
        <f>IFERROR(VLOOKUP($A12,'Job Data'!$A$2:$P$220,14,FALSE)," ")</f>
        <v>AT0009 WHIMS Testwork</v>
      </c>
      <c r="F12" s="1" t="str">
        <f>VLOOKUP($A12, 'Job Data'!$A$2:$P$220,15, FALSE)</f>
        <v>C:\Users\wubia\OneDrive - Longi Magnet Australia Pty ltd\Documents - Longi Australia\03 Project Management\Client\FMG\Solomon\AT0009 WHIMS Testwork</v>
      </c>
      <c r="G12" s="16" t="str">
        <f t="shared" si="0"/>
        <v>Open Project Folder</v>
      </c>
      <c r="H12" s="1"/>
    </row>
    <row r="13" spans="1:8">
      <c r="A13" s="24" t="s">
        <v>254</v>
      </c>
      <c r="B13" s="24">
        <v>1</v>
      </c>
      <c r="C13" s="7" t="str">
        <f>IFERROR(VLOOKUP($A13, 'Job Data'!$A$2:$P$220,2, FALSE), " ")</f>
        <v>FMG</v>
      </c>
      <c r="D13" s="7" t="str">
        <f>IFERROR(VLOOKUP($A13,'Job Data'!$A$2:$P$220,3,FALSE)," ")</f>
        <v>Iron Bridge</v>
      </c>
      <c r="E13" s="7" t="str">
        <f>IFERROR(VLOOKUP($A13,'Job Data'!$A$2:$P$220,14,FALSE)," ")</f>
        <v>AQ0021 RMS Replacement</v>
      </c>
      <c r="F13" s="1" t="str">
        <f>VLOOKUP($A13, 'Job Data'!$A$2:$P$220,15, FALSE)</f>
        <v>C:\Users\wubia\OneDrive - Longi Magnet Australia Pty ltd\Documents - Longi Australia\03 Project Management\Client\FMG\Iron Bridge\AQ0021 RMS Replacement</v>
      </c>
      <c r="G13" s="16" t="str">
        <f t="shared" si="0"/>
        <v>Open Project Folder</v>
      </c>
      <c r="H13" s="1"/>
    </row>
    <row r="14" spans="1:8">
      <c r="A14" s="24" t="s">
        <v>694</v>
      </c>
      <c r="B14" s="24">
        <v>1</v>
      </c>
      <c r="C14" s="7" t="str">
        <f>IFERROR(VLOOKUP($A14, 'Job Data'!$A$2:$P$220,2, FALSE), " ")</f>
        <v>FMG</v>
      </c>
      <c r="D14" s="7" t="str">
        <f>IFERROR(VLOOKUP($A14,'Job Data'!$A$2:$P$220,3,FALSE)," ")</f>
        <v>Christmas Creek </v>
      </c>
      <c r="E14" s="7" t="str">
        <f>IFERROR(VLOOKUP($A14,'Job Data'!$A$2:$P$220,14,FALSE)," ")</f>
        <v xml:space="preserve">AT0020 WHIMS Investigation </v>
      </c>
      <c r="F14" s="1" t="str">
        <f>VLOOKUP($A14, 'Job Data'!$A$2:$P$220,15, FALSE)</f>
        <v xml:space="preserve">C:\Users\wubia\OneDrive - Longi Magnet Australia Pty ltd\Documents - Longi Australia\03 Project Management\Client\FMG\Christmas Creek \AT0020 WHIMS Investigation </v>
      </c>
      <c r="G14" s="16" t="str">
        <f t="shared" si="0"/>
        <v>Open Project Folder</v>
      </c>
      <c r="H14" s="1"/>
    </row>
    <row r="15" spans="1:8">
      <c r="A15" s="24" t="s">
        <v>382</v>
      </c>
      <c r="B15" s="24">
        <v>1</v>
      </c>
      <c r="C15" s="7" t="str">
        <f>IFERROR(VLOOKUP($A15, 'Job Data'!$A$2:$P$220,2, FALSE), " ")</f>
        <v>FMG</v>
      </c>
      <c r="D15" s="7" t="str">
        <f>IFERROR(VLOOKUP($A15,'Job Data'!$A$2:$P$220,3,FALSE)," ")</f>
        <v>Solomon</v>
      </c>
      <c r="E15" s="7" t="str">
        <f>IFERROR(VLOOKUP($A15,'Job Data'!$A$2:$P$220,14,FALSE)," ")</f>
        <v>AQ0030 DMS LIMS</v>
      </c>
      <c r="F15" s="1" t="str">
        <f>VLOOKUP($A15, 'Job Data'!$A$2:$P$220,15, FALSE)</f>
        <v>C:\Users\wubia\OneDrive - Longi Magnet Australia Pty ltd\Documents - Longi Australia\03 Project Management\Client\FMG\Solomon\AQ0030 DMS LIMS</v>
      </c>
      <c r="G15" s="16" t="str">
        <f t="shared" si="0"/>
        <v>Open Project Folder</v>
      </c>
      <c r="H15" s="1"/>
    </row>
    <row r="16" spans="1:8">
      <c r="A16" s="24" t="s">
        <v>695</v>
      </c>
      <c r="B16" s="24">
        <v>1</v>
      </c>
      <c r="C16" s="7" t="str">
        <f>IFERROR(VLOOKUP($A16, 'Job Data'!$A$2:$P$220,2, FALSE), " ")</f>
        <v>FMG</v>
      </c>
      <c r="D16" s="7" t="str">
        <f>IFERROR(VLOOKUP($A16,'Job Data'!$A$2:$P$220,3,FALSE)," ")</f>
        <v>Iron Bridge</v>
      </c>
      <c r="E16" s="7" t="str">
        <f>IFERROR(VLOOKUP($A16,'Job Data'!$A$2:$P$220,14,FALSE)," ")</f>
        <v>AQ0049 RCMS Replacement(LJC)</v>
      </c>
      <c r="F16" s="1" t="str">
        <f>VLOOKUP($A16, 'Job Data'!$A$2:$P$220,15, FALSE)</f>
        <v>C:\Users\wubia\OneDrive - Longi Magnet Australia Pty ltd\Documents - Longi Australia\03 Project Management\Client\FMG\Iron Bridge\AQ0049 RCMS Replacement(LJC)</v>
      </c>
      <c r="G16" s="16" t="str">
        <f t="shared" si="0"/>
        <v>Open Project Folder</v>
      </c>
      <c r="H16" s="1"/>
    </row>
    <row r="17" spans="1:8">
      <c r="A17" s="24" t="s">
        <v>476</v>
      </c>
      <c r="B17" s="24">
        <v>1</v>
      </c>
      <c r="C17" s="7" t="str">
        <f>IFERROR(VLOOKUP($A17, 'Job Data'!$A$2:$P$220,2, FALSE), " ")</f>
        <v>FMG</v>
      </c>
      <c r="D17" s="7" t="str">
        <f>IFERROR(VLOOKUP($A17,'Job Data'!$A$2:$P$220,3,FALSE)," ")</f>
        <v>Newman</v>
      </c>
      <c r="E17" s="7" t="str">
        <f>IFERROR(VLOOKUP($A17,'Job Data'!$A$2:$P$220,14,FALSE)," ")</f>
        <v>AQ0050 Second LGS500</v>
      </c>
      <c r="F17" s="1" t="str">
        <f>VLOOKUP($A17, 'Job Data'!$A$2:$P$220,15, FALSE)</f>
        <v>C:\Users\wubia\OneDrive - Longi Magnet Australia Pty ltd\Documents - Longi Australia\03 Project Management\Client\FMG\Newman\AQ0050 Second LGS500</v>
      </c>
      <c r="G17" s="16" t="str">
        <f t="shared" si="0"/>
        <v>Open Project Folder</v>
      </c>
      <c r="H17" s="1"/>
    </row>
    <row r="18" spans="1:8">
      <c r="A18" s="24" t="s">
        <v>696</v>
      </c>
      <c r="B18" s="24">
        <v>1</v>
      </c>
      <c r="C18" s="7" t="str">
        <f>IFERROR(VLOOKUP($A18, 'Job Data'!$A$2:$P$220,2, FALSE), " ")</f>
        <v>FMG</v>
      </c>
      <c r="D18" s="7" t="str">
        <f>IFERROR(VLOOKUP($A18,'Job Data'!$A$2:$P$220,3,FALSE)," ")</f>
        <v>Belinga</v>
      </c>
      <c r="E18" s="7" t="str">
        <f>IFERROR(VLOOKUP($A18,'Job Data'!$A$2:$P$220,14,FALSE)," ")</f>
        <v>AT0038 General Inquiry</v>
      </c>
      <c r="F18" s="1" t="str">
        <f>VLOOKUP($A18, 'Job Data'!$A$2:$P$220,15, FALSE)</f>
        <v>C:\Users\wubia\OneDrive - Longi Magnet Australia Pty ltd\Documents - Longi Australia\03 Project Management\Client\FMG\Belinga\AT0038 General Inquiry</v>
      </c>
      <c r="G18" s="16" t="str">
        <f t="shared" si="0"/>
        <v>Open Project Folder</v>
      </c>
      <c r="H18" s="1"/>
    </row>
    <row r="19" spans="1:8">
      <c r="A19" s="24" t="s">
        <v>697</v>
      </c>
      <c r="B19" s="24">
        <v>1</v>
      </c>
      <c r="C19" s="7" t="str">
        <f>IFERROR(VLOOKUP($A19, 'Job Data'!$A$2:$P$220,2, FALSE), " ")</f>
        <v>FMG</v>
      </c>
      <c r="D19" s="7" t="str">
        <f>IFERROR(VLOOKUP($A19,'Job Data'!$A$2:$P$220,3,FALSE)," ")</f>
        <v>Christmas Creek </v>
      </c>
      <c r="E19" s="7" t="str">
        <f>IFERROR(VLOOKUP($A19,'Job Data'!$A$2:$P$220,14,FALSE)," ")</f>
        <v>AS0010 WHIMS Service</v>
      </c>
      <c r="F19" s="1" t="str">
        <f>VLOOKUP($A19, 'Job Data'!$A$2:$P$220,15, FALSE)</f>
        <v>C:\Users\wubia\OneDrive - Longi Magnet Australia Pty ltd\Documents - Longi Australia\03 Project Management\Client\FMG\Christmas Creek \AS0010 WHIMS Service</v>
      </c>
      <c r="G19" s="16" t="str">
        <f t="shared" si="0"/>
        <v>Open Project Folder</v>
      </c>
      <c r="H19" s="1"/>
    </row>
    <row r="20" spans="1:8">
      <c r="A20" s="24" t="s">
        <v>698</v>
      </c>
      <c r="B20" s="24">
        <v>1</v>
      </c>
      <c r="C20" s="7" t="str">
        <f>IFERROR(VLOOKUP($A20, 'Job Data'!$A$2:$P$220,2, FALSE), " ")</f>
        <v>FMG</v>
      </c>
      <c r="D20" s="7" t="str">
        <f>IFERROR(VLOOKUP($A20,'Job Data'!$A$2:$P$220,3,FALSE)," ")</f>
        <v>Iron Bridge</v>
      </c>
      <c r="E20" s="7" t="str">
        <f>IFERROR(VLOOKUP($A20,'Job Data'!$A$2:$P$220,14,FALSE)," ")</f>
        <v>AQ0053 Dry Magnetic Separation Drum Replacement</v>
      </c>
      <c r="F20" s="1" t="str">
        <f>VLOOKUP($A20, 'Job Data'!$A$2:$P$220,15, FALSE)</f>
        <v>C:\Users\wubia\OneDrive - Longi Magnet Australia Pty ltd\Documents - Longi Australia\03 Project Management\Client\FMG\Iron Bridge\AQ0053 Dry Magnetic Separation Drum Replacement</v>
      </c>
      <c r="G20" s="16" t="str">
        <f t="shared" si="0"/>
        <v>Open Project Folder</v>
      </c>
      <c r="H20" s="1"/>
    </row>
    <row r="21" spans="1:8">
      <c r="A21" s="24" t="s">
        <v>699</v>
      </c>
      <c r="B21" s="24">
        <v>1</v>
      </c>
      <c r="C21" s="7" t="str">
        <f>IFERROR(VLOOKUP($A21, 'Job Data'!$A$2:$P$220,2, FALSE), " ")</f>
        <v>FMG</v>
      </c>
      <c r="D21" s="7" t="str">
        <f>IFERROR(VLOOKUP($A21,'Job Data'!$A$2:$P$220,3,FALSE)," ")</f>
        <v>Kings</v>
      </c>
      <c r="E21" s="7" t="str">
        <f>IFERROR(VLOOKUP($A21,'Job Data'!$A$2:$P$220,14,FALSE)," ")</f>
        <v>AC0021  OPF Tails Scavenging Testwork</v>
      </c>
      <c r="F21" s="1" t="str">
        <f>VLOOKUP($A21, 'Job Data'!$A$2:$P$220,15, FALSE)</f>
        <v>C:\Users\wubia\OneDrive - Longi Magnet Australia Pty ltd\Documents - Longi Australia\03 Project Management\Client\FMG\Kings\AC0021  OPF Tails Scavenging Testwork</v>
      </c>
      <c r="G21" s="16" t="str">
        <f t="shared" si="0"/>
        <v>Open Project Folder</v>
      </c>
      <c r="H21" s="1"/>
    </row>
    <row r="22" spans="1:8">
      <c r="A22" s="24" t="s">
        <v>700</v>
      </c>
      <c r="B22" s="24">
        <v>1</v>
      </c>
      <c r="C22" s="7" t="str">
        <f>IFERROR(VLOOKUP($A22, 'Job Data'!$A$2:$P$220,2, FALSE), " ")</f>
        <v>FMG</v>
      </c>
      <c r="D22" s="7" t="str">
        <f>IFERROR(VLOOKUP($A22,'Job Data'!$A$2:$P$220,3,FALSE)," ")</f>
        <v>Iron Bridge</v>
      </c>
      <c r="E22" s="7" t="str">
        <f>IFERROR(VLOOKUP($A22,'Job Data'!$A$2:$P$220,14,FALSE)," ")</f>
        <v>AQ0064 LJK Package For CV301</v>
      </c>
      <c r="F22" s="1" t="str">
        <f>VLOOKUP($A22, 'Job Data'!$A$2:$P$220,15, FALSE)</f>
        <v>C:\Users\wubia\OneDrive - Longi Magnet Australia Pty ltd\Documents - Longi Australia\03 Project Management\Client\FMG\Iron Bridge\AQ0064 LJK Package For CV301</v>
      </c>
      <c r="G22" s="16" t="str">
        <f t="shared" si="0"/>
        <v>Open Project Folder</v>
      </c>
      <c r="H22" s="1"/>
    </row>
    <row r="23" spans="1:8">
      <c r="A23" s="24" t="s">
        <v>701</v>
      </c>
      <c r="B23" s="24">
        <v>1</v>
      </c>
      <c r="C23" s="7" t="str">
        <f>IFERROR(VLOOKUP($A23, 'Job Data'!$A$2:$P$220,2, FALSE), " ")</f>
        <v>FMG</v>
      </c>
      <c r="D23" s="7" t="str">
        <f>IFERROR(VLOOKUP($A23,'Job Data'!$A$2:$P$220,3,FALSE)," ")</f>
        <v>Christmas Creek </v>
      </c>
      <c r="E23" s="7" t="str">
        <f>IFERROR(VLOOKUP($A23,'Job Data'!$A$2:$P$220,14,FALSE)," ")</f>
        <v>AQ0065 Green Steel Pilot Plant</v>
      </c>
      <c r="F23" s="1" t="str">
        <f>VLOOKUP($A23, 'Job Data'!$A$2:$P$220,15, FALSE)</f>
        <v>C:\Users\wubia\OneDrive - Longi Magnet Australia Pty ltd\Documents - Longi Australia\03 Project Management\Client\FMG\Christmas Creek \AQ0065 Green Steel Pilot Plant</v>
      </c>
      <c r="G23" s="16" t="str">
        <f t="shared" si="0"/>
        <v>Open Project Folder</v>
      </c>
      <c r="H23" s="1"/>
    </row>
    <row r="24" spans="1:8">
      <c r="A24" s="24" t="s">
        <v>716</v>
      </c>
      <c r="B24" s="24">
        <v>1</v>
      </c>
      <c r="C24" s="7" t="str">
        <f>IFERROR(VLOOKUP($A24, 'Job Data'!$A$2:$P$220,2, FALSE), " ")</f>
        <v>FMG</v>
      </c>
      <c r="D24" s="7" t="str">
        <f>IFERROR(VLOOKUP($A24,'Job Data'!$A$2:$P$220,3,FALSE)," ")</f>
        <v>Eliwana</v>
      </c>
      <c r="E24" s="7" t="str">
        <f>IFERROR(VLOOKUP($A24,'Job Data'!$A$2:$P$220,14,FALSE)," ")</f>
        <v>AT0051 Hematite Dry Mag Sep</v>
      </c>
      <c r="F24" s="1" t="str">
        <f>VLOOKUP($A24, 'Job Data'!$A$2:$P$220,15, FALSE)</f>
        <v>C:\Users\wubia\OneDrive - Longi Magnet Australia Pty ltd\Documents - Longi Australia\03 Project Management\Client\FMG\Eliwana\AT0051 Hematite Dry Mag Sep</v>
      </c>
      <c r="G24" s="16" t="str">
        <f t="shared" si="0"/>
        <v>Open Project Folder</v>
      </c>
      <c r="H24" s="1"/>
    </row>
    <row r="25" spans="1:8">
      <c r="A25" s="22" t="s">
        <v>717</v>
      </c>
      <c r="B25" s="24">
        <v>1</v>
      </c>
      <c r="C25" s="7" t="str">
        <f>IFERROR(VLOOKUP($A25, 'Job Data'!$A$2:$P$220,2, FALSE), " ")</f>
        <v>FMG</v>
      </c>
      <c r="D25" s="7" t="str">
        <f>IFERROR(VLOOKUP($A25,'Job Data'!$A$2:$P$220,3,FALSE)," ")</f>
        <v>Dragon</v>
      </c>
      <c r="E25" s="7" t="str">
        <f>IFERROR(VLOOKUP($A25,'Job Data'!$A$2:$P$220,14,FALSE)," ")</f>
        <v>AQ0080 Tramp Magnet and Metal Detector</v>
      </c>
      <c r="F25" s="1" t="str">
        <f>VLOOKUP($A25, 'Job Data'!$A$2:$P$220,15, FALSE)</f>
        <v>C:\Users\wubia\OneDrive - Longi Magnet Australia Pty ltd\Documents - Longi Australia\03 Project Management\Client\FMG\Dragon\AQ0080 Tramp Magnet and Metal Detector</v>
      </c>
      <c r="G25" s="16" t="str">
        <f t="shared" si="0"/>
        <v>Open Project Folder</v>
      </c>
      <c r="H25" s="1"/>
    </row>
    <row r="26" spans="1:8">
      <c r="A26" s="22" t="s">
        <v>217</v>
      </c>
      <c r="B26" s="22">
        <v>19</v>
      </c>
      <c r="C26" s="7" t="str">
        <f>IFERROR(VLOOKUP($A26, 'Job Data'!$A$2:$P$220,2, FALSE), " ")</f>
        <v xml:space="preserve"> </v>
      </c>
      <c r="D26" s="7" t="str">
        <f>IFERROR(VLOOKUP($A26,'Job Data'!$A$2:$P$220,3,FALSE)," ")</f>
        <v xml:space="preserve"> </v>
      </c>
      <c r="E26" s="7" t="str">
        <f>IFERROR(VLOOKUP($A26,'Job Data'!$A$2:$P$220,14,FALSE)," ")</f>
        <v xml:space="preserve"> </v>
      </c>
      <c r="F26" s="1" t="e">
        <f>VLOOKUP($A26, 'Job Data'!$A$2:$P$220,15, FALSE)</f>
        <v>#N/A</v>
      </c>
      <c r="G26" s="16" t="str">
        <f t="shared" si="0"/>
        <v xml:space="preserve"> </v>
      </c>
      <c r="H26" s="1"/>
    </row>
    <row r="27" spans="1:8" ht="32.5" customHeight="1">
      <c r="C27" s="7" t="str">
        <f>IFERROR(VLOOKUP($A27, 'Job Data'!$A$2:$P$220,2, FALSE), " ")</f>
        <v xml:space="preserve"> </v>
      </c>
      <c r="D27" s="7" t="str">
        <f>IFERROR(VLOOKUP($A27,'Job Data'!$A$2:$P$220,3,FALSE)," ")</f>
        <v xml:space="preserve"> </v>
      </c>
      <c r="E27" s="7" t="str">
        <f>IFERROR(VLOOKUP($A27,'Job Data'!$A$2:$P$220,14,FALSE)," ")</f>
        <v xml:space="preserve"> </v>
      </c>
      <c r="F27" s="1" t="e">
        <f>VLOOKUP($A27, 'Job Data'!$A$2:$P$220,15, FALSE)</f>
        <v>#N/A</v>
      </c>
      <c r="G27" s="16" t="str">
        <f t="shared" si="0"/>
        <v xml:space="preserve"> </v>
      </c>
      <c r="H27" s="1"/>
    </row>
    <row r="28" spans="1:8">
      <c r="C28" s="7" t="str">
        <f>IFERROR(VLOOKUP($A28, 'Job Data'!$A$2:$P$220,2, FALSE), " ")</f>
        <v xml:space="preserve"> </v>
      </c>
      <c r="D28" s="7" t="str">
        <f>IFERROR(VLOOKUP($A28,'Job Data'!$A$2:$P$220,3,FALSE)," ")</f>
        <v xml:space="preserve"> </v>
      </c>
      <c r="E28" s="7" t="str">
        <f>IFERROR(VLOOKUP($A28,'Job Data'!$A$2:$P$220,14,FALSE)," ")</f>
        <v xml:space="preserve"> </v>
      </c>
      <c r="F28" s="1" t="e">
        <f>VLOOKUP($A28, 'Job Data'!$A$2:$P$220,15, FALSE)</f>
        <v>#N/A</v>
      </c>
      <c r="G28" s="16" t="str">
        <f t="shared" si="0"/>
        <v xml:space="preserve"> </v>
      </c>
      <c r="H28" s="1"/>
    </row>
    <row r="29" spans="1:8">
      <c r="C29" s="7" t="str">
        <f>IFERROR(VLOOKUP($A29, 'Job Data'!$A$2:$P$220,2, FALSE), " ")</f>
        <v xml:space="preserve"> </v>
      </c>
      <c r="D29" s="7" t="str">
        <f>IFERROR(VLOOKUP($A29,'Job Data'!$A$2:$P$220,3,FALSE)," ")</f>
        <v xml:space="preserve"> </v>
      </c>
      <c r="E29" s="7" t="str">
        <f>IFERROR(VLOOKUP($A29,'Job Data'!$A$2:$P$220,14,FALSE)," ")</f>
        <v xml:space="preserve"> </v>
      </c>
      <c r="F29" s="1" t="e">
        <f>VLOOKUP($A29, 'Job Data'!$A$2:$P$220,15, FALSE)</f>
        <v>#N/A</v>
      </c>
      <c r="G29" s="16" t="str">
        <f t="shared" si="0"/>
        <v xml:space="preserve"> </v>
      </c>
      <c r="H29" s="1"/>
    </row>
    <row r="30" spans="1:8" ht="32.5" customHeight="1">
      <c r="C30" s="7" t="str">
        <f>IFERROR(VLOOKUP($A30, 'Job Data'!$A$2:$P$220,2, FALSE), " ")</f>
        <v xml:space="preserve"> </v>
      </c>
      <c r="D30" s="7" t="str">
        <f>IFERROR(VLOOKUP($A30,'Job Data'!$A$2:$P$220,3,FALSE)," ")</f>
        <v xml:space="preserve"> </v>
      </c>
      <c r="E30" s="7" t="str">
        <f>IFERROR(VLOOKUP($A30,'Job Data'!$A$2:$P$220,14,FALSE)," ")</f>
        <v xml:space="preserve"> </v>
      </c>
      <c r="F30" s="1" t="e">
        <f>VLOOKUP($A30, 'Job Data'!$A$2:$P$220,15, FALSE)</f>
        <v>#N/A</v>
      </c>
      <c r="G30" s="16" t="str">
        <f t="shared" si="0"/>
        <v xml:space="preserve"> </v>
      </c>
      <c r="H30" s="1"/>
    </row>
    <row r="31" spans="1:8" ht="32.5" customHeight="1">
      <c r="C31" s="7" t="str">
        <f>IFERROR(VLOOKUP($A31, 'Job Data'!$A$2:$P$220,2, FALSE), " ")</f>
        <v xml:space="preserve"> </v>
      </c>
      <c r="D31" s="7" t="str">
        <f>IFERROR(VLOOKUP($A31,'Job Data'!$A$2:$P$220,3,FALSE)," ")</f>
        <v xml:space="preserve"> </v>
      </c>
      <c r="E31" s="7" t="str">
        <f>IFERROR(VLOOKUP($A31,'Job Data'!$A$2:$P$220,14,FALSE)," ")</f>
        <v xml:space="preserve"> </v>
      </c>
      <c r="F31" s="1" t="e">
        <f>VLOOKUP($A31, 'Job Data'!$A$2:$P$220,15, FALSE)</f>
        <v>#N/A</v>
      </c>
      <c r="G31" s="16" t="str">
        <f t="shared" si="0"/>
        <v xml:space="preserve"> </v>
      </c>
      <c r="H31" s="1"/>
    </row>
    <row r="32" spans="1:8" ht="32.5" customHeight="1">
      <c r="C32" s="7" t="str">
        <f>IFERROR(VLOOKUP($A32, 'Job Data'!$A$2:$P$220,2, FALSE), " ")</f>
        <v xml:space="preserve"> </v>
      </c>
      <c r="D32" s="7" t="str">
        <f>IFERROR(VLOOKUP($A32,'Job Data'!$A$2:$P$220,3,FALSE)," ")</f>
        <v xml:space="preserve"> </v>
      </c>
      <c r="E32" s="7" t="str">
        <f>IFERROR(VLOOKUP($A32,'Job Data'!$A$2:$P$220,14,FALSE)," ")</f>
        <v xml:space="preserve"> </v>
      </c>
      <c r="F32" s="1" t="e">
        <f>VLOOKUP($A32, 'Job Data'!$A$2:$P$220,15, FALSE)</f>
        <v>#N/A</v>
      </c>
      <c r="G32" s="16" t="str">
        <f t="shared" si="0"/>
        <v xml:space="preserve"> </v>
      </c>
      <c r="H32" s="1"/>
    </row>
    <row r="33" spans="3:8">
      <c r="C33" s="7" t="str">
        <f>IFERROR(VLOOKUP($A33, 'Job Data'!$A$2:$P$220,2, FALSE), " ")</f>
        <v xml:space="preserve"> </v>
      </c>
      <c r="D33" s="7" t="str">
        <f>IFERROR(VLOOKUP($A33,'Job Data'!$A$2:$P$220,3,FALSE)," ")</f>
        <v xml:space="preserve"> </v>
      </c>
      <c r="E33" s="7" t="str">
        <f>IFERROR(VLOOKUP($A33,'Job Data'!$A$2:$P$220,14,FALSE)," ")</f>
        <v xml:space="preserve"> </v>
      </c>
      <c r="F33" s="1" t="e">
        <f>VLOOKUP($A33, 'Job Data'!$A$2:$P$220,15, FALSE)</f>
        <v>#N/A</v>
      </c>
      <c r="G33" s="16" t="str">
        <f t="shared" si="0"/>
        <v xml:space="preserve"> </v>
      </c>
      <c r="H33" s="1"/>
    </row>
    <row r="34" spans="3:8">
      <c r="C34" s="7" t="str">
        <f>IFERROR(VLOOKUP($A34, 'Job Data'!$A$2:$P$220,2, FALSE), " ")</f>
        <v xml:space="preserve"> </v>
      </c>
      <c r="D34" s="7" t="str">
        <f>IFERROR(VLOOKUP($A34,'Job Data'!$A$2:$P$220,3,FALSE)," ")</f>
        <v xml:space="preserve"> </v>
      </c>
      <c r="E34" s="7" t="str">
        <f>IFERROR(VLOOKUP($A34,'Job Data'!$A$2:$P$220,14,FALSE)," ")</f>
        <v xml:space="preserve"> </v>
      </c>
      <c r="F34" s="1" t="e">
        <f>VLOOKUP($A34, 'Job Data'!$A$2:$P$220,15, FALSE)</f>
        <v>#N/A</v>
      </c>
      <c r="G34" s="16" t="str">
        <f t="shared" si="0"/>
        <v xml:space="preserve"> </v>
      </c>
      <c r="H34" s="1"/>
    </row>
    <row r="35" spans="3:8" ht="32.5" customHeight="1">
      <c r="C35" s="7" t="str">
        <f>IFERROR(VLOOKUP($A35, 'Job Data'!$A$2:$P$220,2, FALSE), " ")</f>
        <v xml:space="preserve"> </v>
      </c>
      <c r="D35" s="7" t="str">
        <f>IFERROR(VLOOKUP($A35,'Job Data'!$A$2:$P$220,3,FALSE)," ")</f>
        <v xml:space="preserve"> </v>
      </c>
      <c r="E35" s="7" t="str">
        <f>IFERROR(VLOOKUP($A35,'Job Data'!$A$2:$P$220,14,FALSE)," ")</f>
        <v xml:space="preserve"> </v>
      </c>
      <c r="F35" s="1" t="e">
        <f>VLOOKUP($A35, 'Job Data'!$A$2:$P$220,15, FALSE)</f>
        <v>#N/A</v>
      </c>
      <c r="G35" s="16" t="str">
        <f t="shared" si="0"/>
        <v xml:space="preserve"> </v>
      </c>
      <c r="H35" s="1"/>
    </row>
    <row r="36" spans="3:8">
      <c r="C36" s="7" t="str">
        <f>IFERROR(VLOOKUP($A36, 'Job Data'!$A$2:$P$220,2, FALSE), " ")</f>
        <v xml:space="preserve"> </v>
      </c>
      <c r="D36" s="7" t="str">
        <f>IFERROR(VLOOKUP($A36,'Job Data'!$A$2:$P$220,3,FALSE)," ")</f>
        <v xml:space="preserve"> </v>
      </c>
      <c r="E36" s="7" t="str">
        <f>IFERROR(VLOOKUP($A36,'Job Data'!$A$2:$P$220,14,FALSE)," ")</f>
        <v xml:space="preserve"> </v>
      </c>
      <c r="F36" s="1" t="e">
        <f>VLOOKUP($A36, 'Job Data'!$A$2:$P$220,15, FALSE)</f>
        <v>#N/A</v>
      </c>
      <c r="G36" s="16" t="str">
        <f t="shared" si="0"/>
        <v xml:space="preserve"> </v>
      </c>
      <c r="H36" s="1"/>
    </row>
    <row r="37" spans="3:8">
      <c r="C37" s="7" t="str">
        <f>IFERROR(VLOOKUP($A37, 'Job Data'!$A$2:$P$220,2, FALSE), " ")</f>
        <v xml:space="preserve"> </v>
      </c>
      <c r="D37" s="7" t="str">
        <f>IFERROR(VLOOKUP($A37,'Job Data'!$A$2:$P$220,3,FALSE)," ")</f>
        <v xml:space="preserve"> </v>
      </c>
      <c r="E37" s="7" t="str">
        <f>IFERROR(VLOOKUP($A37,'Job Data'!$A$2:$P$220,14,FALSE)," ")</f>
        <v xml:space="preserve"> </v>
      </c>
      <c r="F37" s="1" t="e">
        <f>VLOOKUP($A37, 'Job Data'!$A$2:$P$220,15, FALSE)</f>
        <v>#N/A</v>
      </c>
      <c r="G37" s="16" t="str">
        <f t="shared" si="0"/>
        <v xml:space="preserve"> </v>
      </c>
      <c r="H37" s="1"/>
    </row>
    <row r="38" spans="3:8" ht="32.5" customHeight="1">
      <c r="C38" s="7" t="str">
        <f>IFERROR(VLOOKUP($A38, 'Job Data'!$A$2:$P$220,2, FALSE), " ")</f>
        <v xml:space="preserve"> </v>
      </c>
      <c r="D38" s="7" t="str">
        <f>IFERROR(VLOOKUP($A38,'Job Data'!$A$2:$P$220,3,FALSE)," ")</f>
        <v xml:space="preserve"> </v>
      </c>
      <c r="E38" s="7" t="str">
        <f>IFERROR(VLOOKUP($A38,'Job Data'!$A$2:$P$220,14,FALSE)," ")</f>
        <v xml:space="preserve"> </v>
      </c>
      <c r="F38" s="1" t="e">
        <f>VLOOKUP($A38, 'Job Data'!$A$2:$P$220,15, FALSE)</f>
        <v>#N/A</v>
      </c>
      <c r="G38" s="16" t="str">
        <f t="shared" si="0"/>
        <v xml:space="preserve"> </v>
      </c>
      <c r="H38" s="1"/>
    </row>
    <row r="39" spans="3:8">
      <c r="C39" s="7" t="str">
        <f>IFERROR(VLOOKUP($A39, 'Job Data'!$A$2:$P$220,2, FALSE), " ")</f>
        <v xml:space="preserve"> </v>
      </c>
      <c r="D39" s="7" t="str">
        <f>IFERROR(VLOOKUP($A39,'Job Data'!$A$2:$P$220,3,FALSE)," ")</f>
        <v xml:space="preserve"> </v>
      </c>
      <c r="E39" s="7" t="str">
        <f>IFERROR(VLOOKUP($A39,'Job Data'!$A$2:$P$220,14,FALSE)," ")</f>
        <v xml:space="preserve"> </v>
      </c>
      <c r="F39" s="1" t="e">
        <f>VLOOKUP($A39, 'Job Data'!$A$2:$P$220,15, FALSE)</f>
        <v>#N/A</v>
      </c>
      <c r="G39" s="16" t="str">
        <f t="shared" si="0"/>
        <v xml:space="preserve"> </v>
      </c>
      <c r="H39" s="1"/>
    </row>
    <row r="40" spans="3:8">
      <c r="C40" s="7" t="str">
        <f>IFERROR(VLOOKUP($A40, 'Job Data'!$A$2:$P$220,2, FALSE), " ")</f>
        <v xml:space="preserve"> </v>
      </c>
      <c r="D40" s="7" t="str">
        <f>IFERROR(VLOOKUP($A40,'Job Data'!$A$2:$P$220,3,FALSE)," ")</f>
        <v xml:space="preserve"> </v>
      </c>
      <c r="E40" s="7" t="str">
        <f>IFERROR(VLOOKUP($A40,'Job Data'!$A$2:$P$220,14,FALSE)," ")</f>
        <v xml:space="preserve"> </v>
      </c>
      <c r="F40" s="1" t="e">
        <f>VLOOKUP($A40, 'Job Data'!$A$2:$P$220,15, FALSE)</f>
        <v>#N/A</v>
      </c>
      <c r="G40" s="16" t="str">
        <f t="shared" si="0"/>
        <v xml:space="preserve"> </v>
      </c>
      <c r="H40" s="1"/>
    </row>
    <row r="41" spans="3:8">
      <c r="C41" s="7" t="str">
        <f>IFERROR(VLOOKUP($A41, 'Job Data'!$A$2:$P$220,2, FALSE), " ")</f>
        <v xml:space="preserve"> </v>
      </c>
      <c r="D41" s="7" t="str">
        <f>IFERROR(VLOOKUP($A41,'Job Data'!$A$2:$P$220,3,FALSE)," ")</f>
        <v xml:space="preserve"> </v>
      </c>
      <c r="E41" s="7" t="str">
        <f>IFERROR(VLOOKUP($A41,'Job Data'!$A$2:$P$220,14,FALSE)," ")</f>
        <v xml:space="preserve"> </v>
      </c>
      <c r="F41" s="1" t="e">
        <f>VLOOKUP($A41, 'Job Data'!$A$2:$P$220,15, FALSE)</f>
        <v>#N/A</v>
      </c>
      <c r="G41" s="16" t="str">
        <f t="shared" si="0"/>
        <v xml:space="preserve"> </v>
      </c>
      <c r="H41" s="1"/>
    </row>
    <row r="42" spans="3:8" ht="32.5" customHeight="1">
      <c r="C42" s="7" t="str">
        <f>IFERROR(VLOOKUP($A42, 'Job Data'!$A$2:$P$220,2, FALSE), " ")</f>
        <v xml:space="preserve"> </v>
      </c>
      <c r="D42" s="7" t="str">
        <f>IFERROR(VLOOKUP($A42,'Job Data'!$A$2:$P$220,3,FALSE)," ")</f>
        <v xml:space="preserve"> </v>
      </c>
      <c r="E42" s="7" t="str">
        <f>IFERROR(VLOOKUP($A42,'Job Data'!$A$2:$P$220,14,FALSE)," ")</f>
        <v xml:space="preserve"> </v>
      </c>
      <c r="F42" s="1" t="e">
        <f>VLOOKUP($A42, 'Job Data'!$A$2:$P$220,15, FALSE)</f>
        <v>#N/A</v>
      </c>
      <c r="G42" s="16" t="str">
        <f t="shared" si="0"/>
        <v xml:space="preserve"> </v>
      </c>
      <c r="H42" s="1"/>
    </row>
    <row r="43" spans="3:8" ht="32.5" customHeight="1">
      <c r="C43" s="7" t="str">
        <f>IFERROR(VLOOKUP($A43, 'Job Data'!$A$2:$P$220,2, FALSE), " ")</f>
        <v xml:space="preserve"> </v>
      </c>
      <c r="D43" s="7" t="str">
        <f>IFERROR(VLOOKUP($A43,'Job Data'!$A$2:$P$220,3,FALSE)," ")</f>
        <v xml:space="preserve"> </v>
      </c>
      <c r="E43" s="7" t="str">
        <f>IFERROR(VLOOKUP($A43,'Job Data'!$A$2:$P$220,14,FALSE)," ")</f>
        <v xml:space="preserve"> </v>
      </c>
      <c r="F43" s="1" t="e">
        <f>VLOOKUP($A43, 'Job Data'!$A$2:$P$220,15, FALSE)</f>
        <v>#N/A</v>
      </c>
      <c r="G43" s="16" t="str">
        <f t="shared" si="0"/>
        <v xml:space="preserve"> </v>
      </c>
      <c r="H43" s="1"/>
    </row>
    <row r="44" spans="3:8" ht="32.5" customHeight="1">
      <c r="C44" s="7" t="str">
        <f>IFERROR(VLOOKUP($A44, 'Job Data'!$A$2:$P$220,2, FALSE), " ")</f>
        <v xml:space="preserve"> </v>
      </c>
      <c r="D44" s="7" t="str">
        <f>IFERROR(VLOOKUP($A44,'Job Data'!$A$2:$P$220,3,FALSE)," ")</f>
        <v xml:space="preserve"> </v>
      </c>
      <c r="E44" s="7" t="str">
        <f>IFERROR(VLOOKUP($A44,'Job Data'!$A$2:$P$220,14,FALSE)," ")</f>
        <v xml:space="preserve"> </v>
      </c>
      <c r="F44" s="1" t="e">
        <f>VLOOKUP($A44, 'Job Data'!$A$2:$P$220,15, FALSE)</f>
        <v>#N/A</v>
      </c>
      <c r="G44" s="16" t="str">
        <f t="shared" si="0"/>
        <v xml:space="preserve"> </v>
      </c>
      <c r="H44" s="1"/>
    </row>
    <row r="45" spans="3:8" ht="32.5" customHeight="1">
      <c r="C45" s="7" t="str">
        <f>IFERROR(VLOOKUP($A45, 'Job Data'!$A$2:$P$220,2, FALSE), " ")</f>
        <v xml:space="preserve"> </v>
      </c>
      <c r="D45" s="7" t="str">
        <f>IFERROR(VLOOKUP($A45,'Job Data'!$A$2:$P$220,3,FALSE)," ")</f>
        <v xml:space="preserve"> </v>
      </c>
      <c r="E45" s="7" t="str">
        <f>IFERROR(VLOOKUP($A45,'Job Data'!$A$2:$P$220,14,FALSE)," ")</f>
        <v xml:space="preserve"> </v>
      </c>
      <c r="F45" s="1" t="e">
        <f>VLOOKUP($A45, 'Job Data'!$A$2:$P$220,15, FALSE)</f>
        <v>#N/A</v>
      </c>
      <c r="G45" s="16" t="str">
        <f t="shared" si="0"/>
        <v xml:space="preserve"> </v>
      </c>
      <c r="H45" s="1"/>
    </row>
    <row r="46" spans="3:8" ht="32.5" customHeight="1">
      <c r="C46" s="7" t="str">
        <f>IFERROR(VLOOKUP($A46, 'Job Data'!$A$2:$P$220,2, FALSE), " ")</f>
        <v xml:space="preserve"> </v>
      </c>
      <c r="D46" s="7" t="str">
        <f>IFERROR(VLOOKUP($A46,'Job Data'!$A$2:$P$220,3,FALSE)," ")</f>
        <v xml:space="preserve"> </v>
      </c>
      <c r="E46" s="7" t="str">
        <f>IFERROR(VLOOKUP($A46,'Job Data'!$A$2:$P$220,14,FALSE)," ")</f>
        <v xml:space="preserve"> </v>
      </c>
      <c r="F46" s="1" t="e">
        <f>VLOOKUP($A46, 'Job Data'!$A$2:$P$220,15, FALSE)</f>
        <v>#N/A</v>
      </c>
      <c r="G46" s="16" t="str">
        <f t="shared" si="0"/>
        <v xml:space="preserve"> </v>
      </c>
      <c r="H46" s="1"/>
    </row>
    <row r="47" spans="3:8">
      <c r="C47" s="7" t="str">
        <f>IFERROR(VLOOKUP($A47, 'Job Data'!$A$2:$P$220,2, FALSE), " ")</f>
        <v xml:space="preserve"> </v>
      </c>
      <c r="D47" s="7" t="str">
        <f>IFERROR(VLOOKUP($A47,'Job Data'!$A$2:$P$220,3,FALSE)," ")</f>
        <v xml:space="preserve"> </v>
      </c>
      <c r="E47" s="7" t="str">
        <f>IFERROR(VLOOKUP($A47,'Job Data'!$A$2:$P$220,14,FALSE)," ")</f>
        <v xml:space="preserve"> </v>
      </c>
      <c r="F47" s="1" t="e">
        <f>VLOOKUP($A47, 'Job Data'!$A$2:$P$220,15, FALSE)</f>
        <v>#N/A</v>
      </c>
      <c r="G47" s="16" t="str">
        <f t="shared" si="0"/>
        <v xml:space="preserve"> </v>
      </c>
      <c r="H47" s="1"/>
    </row>
    <row r="48" spans="3:8">
      <c r="C48" s="7" t="str">
        <f>IFERROR(VLOOKUP($A48, 'Job Data'!$A$2:$P$220,2, FALSE), " ")</f>
        <v xml:space="preserve"> </v>
      </c>
      <c r="D48" s="7" t="str">
        <f>IFERROR(VLOOKUP($A48,'Job Data'!$A$2:$P$220,3,FALSE)," ")</f>
        <v xml:space="preserve"> </v>
      </c>
      <c r="E48" s="7" t="str">
        <f>IFERROR(VLOOKUP($A48,'Job Data'!$A$2:$P$220,14,FALSE)," ")</f>
        <v xml:space="preserve"> </v>
      </c>
      <c r="F48" s="1" t="e">
        <f>VLOOKUP($A48, 'Job Data'!$A$2:$P$220,15, FALSE)</f>
        <v>#N/A</v>
      </c>
      <c r="G48" s="16" t="str">
        <f t="shared" si="0"/>
        <v xml:space="preserve"> </v>
      </c>
      <c r="H48" s="1"/>
    </row>
    <row r="49" spans="3:8">
      <c r="C49" s="7" t="str">
        <f>IFERROR(VLOOKUP($A49, 'Job Data'!$A$2:$P$220,2, FALSE), " ")</f>
        <v xml:space="preserve"> </v>
      </c>
      <c r="D49" s="7" t="str">
        <f>IFERROR(VLOOKUP($A49,'Job Data'!$A$2:$P$220,3,FALSE)," ")</f>
        <v xml:space="preserve"> </v>
      </c>
      <c r="E49" s="7" t="str">
        <f>IFERROR(VLOOKUP($A49,'Job Data'!$A$2:$P$220,14,FALSE)," ")</f>
        <v xml:space="preserve"> </v>
      </c>
      <c r="F49" s="1" t="e">
        <f>VLOOKUP($A49, 'Job Data'!$A$2:$P$220,15, FALSE)</f>
        <v>#N/A</v>
      </c>
      <c r="G49" s="16" t="str">
        <f t="shared" si="0"/>
        <v xml:space="preserve"> </v>
      </c>
      <c r="H49" s="1"/>
    </row>
    <row r="50" spans="3:8" ht="32.5" customHeight="1">
      <c r="C50" s="7" t="str">
        <f>IFERROR(VLOOKUP($A50, 'Job Data'!$A$2:$P$220,2, FALSE), " ")</f>
        <v xml:space="preserve"> </v>
      </c>
      <c r="D50" s="7" t="str">
        <f>IFERROR(VLOOKUP($A50,'Job Data'!$A$2:$P$220,3,FALSE)," ")</f>
        <v xml:space="preserve"> </v>
      </c>
      <c r="E50" s="7" t="str">
        <f>IFERROR(VLOOKUP($A50,'Job Data'!$A$2:$P$220,14,FALSE)," ")</f>
        <v xml:space="preserve"> </v>
      </c>
      <c r="F50" s="1" t="e">
        <f>VLOOKUP($A50, 'Job Data'!$A$2:$P$220,15, FALSE)</f>
        <v>#N/A</v>
      </c>
      <c r="G50" s="16" t="str">
        <f t="shared" si="0"/>
        <v xml:space="preserve"> </v>
      </c>
      <c r="H50" s="1"/>
    </row>
    <row r="51" spans="3:8" ht="32.5" customHeight="1">
      <c r="C51" s="7" t="str">
        <f>IFERROR(VLOOKUP($A51, 'Job Data'!$A$2:$P$220,2, FALSE), " ")</f>
        <v xml:space="preserve"> </v>
      </c>
      <c r="D51" s="7" t="str">
        <f>IFERROR(VLOOKUP($A51,'Job Data'!$A$2:$P$220,3,FALSE)," ")</f>
        <v xml:space="preserve"> </v>
      </c>
      <c r="E51" s="7" t="str">
        <f>IFERROR(VLOOKUP($A51,'Job Data'!$A$2:$P$220,14,FALSE)," ")</f>
        <v xml:space="preserve"> </v>
      </c>
      <c r="F51" s="1" t="e">
        <f>VLOOKUP($A51, 'Job Data'!$A$2:$P$220,15, FALSE)</f>
        <v>#N/A</v>
      </c>
      <c r="G51" s="16" t="str">
        <f t="shared" si="0"/>
        <v xml:space="preserve"> </v>
      </c>
      <c r="H51" s="1"/>
    </row>
    <row r="52" spans="3:8" ht="32.5" customHeight="1">
      <c r="C52" s="7" t="str">
        <f>IFERROR(VLOOKUP($A52, 'Job Data'!$A$2:$P$220,2, FALSE), " ")</f>
        <v xml:space="preserve"> </v>
      </c>
      <c r="D52" s="7" t="str">
        <f>IFERROR(VLOOKUP($A52,'Job Data'!$A$2:$P$220,3,FALSE)," ")</f>
        <v xml:space="preserve"> </v>
      </c>
      <c r="E52" s="7" t="str">
        <f>IFERROR(VLOOKUP($A52,'Job Data'!$A$2:$P$220,14,FALSE)," ")</f>
        <v xml:space="preserve"> </v>
      </c>
      <c r="F52" s="1" t="e">
        <f>VLOOKUP($A52, 'Job Data'!$A$2:$P$220,15, FALSE)</f>
        <v>#N/A</v>
      </c>
      <c r="G52" s="16" t="str">
        <f t="shared" si="0"/>
        <v xml:space="preserve"> </v>
      </c>
      <c r="H52" s="1"/>
    </row>
    <row r="53" spans="3:8" ht="32.5" customHeight="1">
      <c r="C53" s="7" t="str">
        <f>IFERROR(VLOOKUP($A53, 'Job Data'!$A$2:$P$220,2, FALSE), " ")</f>
        <v xml:space="preserve"> </v>
      </c>
      <c r="D53" s="7" t="str">
        <f>IFERROR(VLOOKUP($A53,'Job Data'!$A$2:$P$220,3,FALSE)," ")</f>
        <v xml:space="preserve"> </v>
      </c>
      <c r="E53" s="7" t="str">
        <f>IFERROR(VLOOKUP($A53,'Job Data'!$A$2:$P$220,14,FALSE)," ")</f>
        <v xml:space="preserve"> </v>
      </c>
      <c r="F53" s="1" t="e">
        <f>VLOOKUP($A53, 'Job Data'!$A$2:$P$220,15, FALSE)</f>
        <v>#N/A</v>
      </c>
      <c r="G53" s="16" t="str">
        <f t="shared" si="0"/>
        <v xml:space="preserve"> </v>
      </c>
      <c r="H53" s="1"/>
    </row>
    <row r="54" spans="3:8" ht="32.5" customHeight="1">
      <c r="C54" s="7" t="str">
        <f>IFERROR(VLOOKUP($A54, 'Job Data'!$A$2:$P$220,2, FALSE), " ")</f>
        <v xml:space="preserve"> </v>
      </c>
      <c r="D54" s="7" t="str">
        <f>IFERROR(VLOOKUP($A54,'Job Data'!$A$2:$P$220,3,FALSE)," ")</f>
        <v xml:space="preserve"> </v>
      </c>
      <c r="E54" s="7" t="str">
        <f>IFERROR(VLOOKUP($A54,'Job Data'!$A$2:$P$220,14,FALSE)," ")</f>
        <v xml:space="preserve"> </v>
      </c>
      <c r="F54" s="1" t="e">
        <f>VLOOKUP($A54, 'Job Data'!$A$2:$P$220,15, FALSE)</f>
        <v>#N/A</v>
      </c>
      <c r="G54" s="16" t="str">
        <f t="shared" si="0"/>
        <v xml:space="preserve"> </v>
      </c>
      <c r="H54" s="1"/>
    </row>
    <row r="55" spans="3:8" ht="32.5" customHeight="1">
      <c r="C55" s="7" t="str">
        <f>IFERROR(VLOOKUP($A55, 'Job Data'!$A$2:$P$220,2, FALSE), " ")</f>
        <v xml:space="preserve"> </v>
      </c>
      <c r="D55" s="7" t="str">
        <f>IFERROR(VLOOKUP($A55,'Job Data'!$A$2:$P$220,3,FALSE)," ")</f>
        <v xml:space="preserve"> </v>
      </c>
      <c r="E55" s="7" t="str">
        <f>IFERROR(VLOOKUP($A55,'Job Data'!$A$2:$P$220,14,FALSE)," ")</f>
        <v xml:space="preserve"> </v>
      </c>
      <c r="F55" s="1" t="e">
        <f>VLOOKUP($A55, 'Job Data'!$A$2:$P$220,15, FALSE)</f>
        <v>#N/A</v>
      </c>
      <c r="G55" s="16" t="str">
        <f t="shared" si="0"/>
        <v xml:space="preserve"> </v>
      </c>
      <c r="H55" s="1"/>
    </row>
    <row r="56" spans="3:8" ht="32.5" customHeight="1">
      <c r="C56" s="7" t="str">
        <f>IFERROR(VLOOKUP($A56, 'Job Data'!$A$2:$P$220,2, FALSE), " ")</f>
        <v xml:space="preserve"> </v>
      </c>
      <c r="D56" s="7" t="str">
        <f>IFERROR(VLOOKUP($A56,'Job Data'!$A$2:$P$220,3,FALSE)," ")</f>
        <v xml:space="preserve"> </v>
      </c>
      <c r="E56" s="7" t="str">
        <f>IFERROR(VLOOKUP($A56,'Job Data'!$A$2:$P$220,14,FALSE)," ")</f>
        <v xml:space="preserve"> </v>
      </c>
      <c r="F56" s="1" t="e">
        <f>VLOOKUP($A56, 'Job Data'!$A$2:$P$220,15, FALSE)</f>
        <v>#N/A</v>
      </c>
      <c r="G56" s="16" t="str">
        <f t="shared" si="0"/>
        <v xml:space="preserve"> </v>
      </c>
      <c r="H56" s="1"/>
    </row>
    <row r="57" spans="3:8" ht="32.5" customHeight="1">
      <c r="C57" s="7" t="str">
        <f>IFERROR(VLOOKUP($A57, 'Job Data'!$A$2:$P$220,2, FALSE), " ")</f>
        <v xml:space="preserve"> </v>
      </c>
      <c r="D57" s="7" t="str">
        <f>IFERROR(VLOOKUP($A57,'Job Data'!$A$2:$P$220,3,FALSE)," ")</f>
        <v xml:space="preserve"> </v>
      </c>
      <c r="E57" s="7" t="str">
        <f>IFERROR(VLOOKUP($A57,'Job Data'!$A$2:$P$220,14,FALSE)," ")</f>
        <v xml:space="preserve"> </v>
      </c>
      <c r="F57" s="1" t="e">
        <f>VLOOKUP($A57, 'Job Data'!$A$2:$P$220,15, FALSE)</f>
        <v>#N/A</v>
      </c>
      <c r="G57" s="16" t="str">
        <f t="shared" si="0"/>
        <v xml:space="preserve"> </v>
      </c>
      <c r="H57" s="1"/>
    </row>
    <row r="58" spans="3:8" ht="32.5" customHeight="1">
      <c r="C58" s="7" t="str">
        <f>IFERROR(VLOOKUP($A58, 'Job Data'!$A$2:$P$220,2, FALSE), " ")</f>
        <v xml:space="preserve"> </v>
      </c>
      <c r="D58" s="7" t="str">
        <f>IFERROR(VLOOKUP($A58,'Job Data'!$A$2:$P$220,3,FALSE)," ")</f>
        <v xml:space="preserve"> </v>
      </c>
      <c r="E58" s="7" t="str">
        <f>IFERROR(VLOOKUP($A58,'Job Data'!$A$2:$P$220,14,FALSE)," ")</f>
        <v xml:space="preserve"> </v>
      </c>
      <c r="F58" s="1" t="e">
        <f>VLOOKUP($A58, 'Job Data'!$A$2:$P$220,15, FALSE)</f>
        <v>#N/A</v>
      </c>
      <c r="G58" s="16" t="str">
        <f t="shared" si="0"/>
        <v xml:space="preserve"> </v>
      </c>
      <c r="H58" s="1"/>
    </row>
    <row r="59" spans="3:8" ht="32.5" customHeight="1">
      <c r="C59" s="7" t="str">
        <f>IFERROR(VLOOKUP($A59, 'Job Data'!$A$2:$P$220,2, FALSE), " ")</f>
        <v xml:space="preserve"> </v>
      </c>
      <c r="D59" s="7" t="str">
        <f>IFERROR(VLOOKUP($A59,'Job Data'!$A$2:$P$220,3,FALSE)," ")</f>
        <v xml:space="preserve"> </v>
      </c>
      <c r="E59" s="7" t="str">
        <f>IFERROR(VLOOKUP($A59,'Job Data'!$A$2:$P$220,14,FALSE)," ")</f>
        <v xml:space="preserve"> </v>
      </c>
      <c r="F59" s="1" t="e">
        <f>VLOOKUP($A59, 'Job Data'!$A$2:$P$220,15, FALSE)</f>
        <v>#N/A</v>
      </c>
      <c r="G59" s="16" t="str">
        <f t="shared" si="0"/>
        <v xml:space="preserve"> </v>
      </c>
      <c r="H59" s="1"/>
    </row>
    <row r="60" spans="3:8" ht="32.5" customHeight="1">
      <c r="C60" s="7" t="str">
        <f>IFERROR(VLOOKUP($A60, 'Job Data'!$A$2:$P$220,2, FALSE), " ")</f>
        <v xml:space="preserve"> </v>
      </c>
      <c r="D60" s="7" t="str">
        <f>IFERROR(VLOOKUP($A60,'Job Data'!$A$2:$P$220,3,FALSE)," ")</f>
        <v xml:space="preserve"> </v>
      </c>
      <c r="E60" s="7" t="str">
        <f>IFERROR(VLOOKUP($A60,'Job Data'!$A$2:$P$220,14,FALSE)," ")</f>
        <v xml:space="preserve"> </v>
      </c>
      <c r="F60" s="1" t="e">
        <f>VLOOKUP($A60, 'Job Data'!$A$2:$P$220,15, FALSE)</f>
        <v>#N/A</v>
      </c>
      <c r="G60" s="16" t="str">
        <f t="shared" si="0"/>
        <v xml:space="preserve"> </v>
      </c>
      <c r="H60" s="1"/>
    </row>
    <row r="61" spans="3:8" ht="32.5" customHeight="1">
      <c r="C61" s="7" t="str">
        <f>IFERROR(VLOOKUP($A61, 'Job Data'!$A$2:$P$220,2, FALSE), " ")</f>
        <v xml:space="preserve"> </v>
      </c>
      <c r="D61" s="7" t="str">
        <f>IFERROR(VLOOKUP($A61,'Job Data'!$A$2:$P$220,3,FALSE)," ")</f>
        <v xml:space="preserve"> </v>
      </c>
      <c r="E61" s="7" t="str">
        <f>IFERROR(VLOOKUP($A61,'Job Data'!$A$2:$P$220,14,FALSE)," ")</f>
        <v xml:space="preserve"> </v>
      </c>
      <c r="F61" s="1" t="e">
        <f>VLOOKUP($A61, 'Job Data'!$A$2:$P$220,15, FALSE)</f>
        <v>#N/A</v>
      </c>
      <c r="G61" s="16" t="str">
        <f t="shared" si="0"/>
        <v xml:space="preserve"> </v>
      </c>
      <c r="H61" s="1"/>
    </row>
    <row r="62" spans="3:8" ht="32.5" customHeight="1">
      <c r="C62" s="7" t="str">
        <f>IFERROR(VLOOKUP($A62, 'Job Data'!$A$2:$P$220,2, FALSE), " ")</f>
        <v xml:space="preserve"> </v>
      </c>
      <c r="D62" s="7" t="str">
        <f>IFERROR(VLOOKUP($A62,'Job Data'!$A$2:$P$220,3,FALSE)," ")</f>
        <v xml:space="preserve"> </v>
      </c>
      <c r="E62" s="7" t="str">
        <f>IFERROR(VLOOKUP($A62,'Job Data'!$A$2:$P$220,14,FALSE)," ")</f>
        <v xml:space="preserve"> </v>
      </c>
      <c r="F62" s="1" t="e">
        <f>VLOOKUP($A62, 'Job Data'!$A$2:$P$220,15, FALSE)</f>
        <v>#N/A</v>
      </c>
      <c r="G62" s="16" t="str">
        <f t="shared" si="0"/>
        <v xml:space="preserve"> </v>
      </c>
      <c r="H62" s="1"/>
    </row>
    <row r="63" spans="3:8" ht="32.5" customHeight="1">
      <c r="C63" s="7" t="str">
        <f>IFERROR(VLOOKUP($A63, 'Job Data'!$A$2:$P$220,2, FALSE), " ")</f>
        <v xml:space="preserve"> </v>
      </c>
      <c r="D63" s="7" t="str">
        <f>IFERROR(VLOOKUP($A63,'Job Data'!$A$2:$P$220,3,FALSE)," ")</f>
        <v xml:space="preserve"> </v>
      </c>
      <c r="E63" s="7" t="str">
        <f>IFERROR(VLOOKUP($A63,'Job Data'!$A$2:$P$220,14,FALSE)," ")</f>
        <v xml:space="preserve"> </v>
      </c>
      <c r="F63" s="1" t="e">
        <f>VLOOKUP($A63, 'Job Data'!$A$2:$P$220,15, FALSE)</f>
        <v>#N/A</v>
      </c>
      <c r="G63" s="16" t="str">
        <f t="shared" si="0"/>
        <v xml:space="preserve"> </v>
      </c>
      <c r="H63" s="1"/>
    </row>
    <row r="64" spans="3:8" ht="32.5" customHeight="1">
      <c r="C64" s="7" t="str">
        <f>IFERROR(VLOOKUP($A64, 'Job Data'!$A$2:$P$220,2, FALSE), " ")</f>
        <v xml:space="preserve"> </v>
      </c>
      <c r="D64" s="7" t="str">
        <f>IFERROR(VLOOKUP($A64,'Job Data'!$A$2:$P$220,3,FALSE)," ")</f>
        <v xml:space="preserve"> </v>
      </c>
      <c r="E64" s="7" t="str">
        <f>IFERROR(VLOOKUP($A64,'Job Data'!$A$2:$P$220,14,FALSE)," ")</f>
        <v xml:space="preserve"> </v>
      </c>
      <c r="F64" s="1" t="e">
        <f>VLOOKUP($A64, 'Job Data'!$A$2:$P$220,15, FALSE)</f>
        <v>#N/A</v>
      </c>
      <c r="G64" s="16" t="str">
        <f t="shared" si="0"/>
        <v xml:space="preserve"> </v>
      </c>
      <c r="H64" s="1"/>
    </row>
    <row r="65" spans="3:8" ht="32.5" customHeight="1">
      <c r="C65" s="7" t="str">
        <f>IFERROR(VLOOKUP($A65, 'Job Data'!$A$2:$P$220,2, FALSE), " ")</f>
        <v xml:space="preserve"> </v>
      </c>
      <c r="D65" s="7" t="str">
        <f>IFERROR(VLOOKUP($A65,'Job Data'!$A$2:$P$220,3,FALSE)," ")</f>
        <v xml:space="preserve"> </v>
      </c>
      <c r="E65" s="7" t="str">
        <f>IFERROR(VLOOKUP($A65,'Job Data'!$A$2:$P$220,14,FALSE)," ")</f>
        <v xml:space="preserve"> </v>
      </c>
      <c r="F65" s="1" t="e">
        <f>VLOOKUP($A65, 'Job Data'!$A$2:$P$220,15, FALSE)</f>
        <v>#N/A</v>
      </c>
      <c r="G65" s="16" t="str">
        <f t="shared" si="0"/>
        <v xml:space="preserve"> </v>
      </c>
      <c r="H65" s="1"/>
    </row>
    <row r="66" spans="3:8" ht="32.5" customHeight="1">
      <c r="C66" s="7" t="str">
        <f>IFERROR(VLOOKUP($A66, 'Job Data'!$A$2:$P$220,2, FALSE), " ")</f>
        <v xml:space="preserve"> </v>
      </c>
      <c r="D66" s="7" t="str">
        <f>IFERROR(VLOOKUP($A66,'Job Data'!$A$2:$P$220,3,FALSE)," ")</f>
        <v xml:space="preserve"> </v>
      </c>
      <c r="E66" s="7" t="str">
        <f>IFERROR(VLOOKUP($A66,'Job Data'!$A$2:$P$220,14,FALSE)," ")</f>
        <v xml:space="preserve"> </v>
      </c>
      <c r="F66" s="1" t="e">
        <f>VLOOKUP($A66, 'Job Data'!$A$2:$P$220,15, FALSE)</f>
        <v>#N/A</v>
      </c>
      <c r="G66" s="16" t="str">
        <f t="shared" si="0"/>
        <v xml:space="preserve"> </v>
      </c>
      <c r="H66" s="1"/>
    </row>
    <row r="67" spans="3:8" ht="32.5" customHeight="1">
      <c r="C67" s="7" t="str">
        <f>IFERROR(VLOOKUP($A67, 'Job Data'!$A$2:$P$220,2, FALSE), " ")</f>
        <v xml:space="preserve"> </v>
      </c>
      <c r="D67" s="7" t="str">
        <f>IFERROR(VLOOKUP($A67,'Job Data'!$A$2:$P$220,3,FALSE)," ")</f>
        <v xml:space="preserve"> </v>
      </c>
      <c r="E67" s="7" t="str">
        <f>IFERROR(VLOOKUP($A67,'Job Data'!$A$2:$P$220,14,FALSE)," ")</f>
        <v xml:space="preserve"> </v>
      </c>
      <c r="F67" s="1" t="e">
        <f>VLOOKUP($A67, 'Job Data'!$A$2:$P$220,15, FALSE)</f>
        <v>#N/A</v>
      </c>
      <c r="G67" s="16" t="str">
        <f t="shared" si="0"/>
        <v xml:space="preserve"> </v>
      </c>
      <c r="H67" s="1"/>
    </row>
    <row r="68" spans="3:8" ht="32.5" customHeight="1">
      <c r="C68" s="7" t="str">
        <f>IFERROR(VLOOKUP($A68, 'Job Data'!$A$2:$P$220,2, FALSE), " ")</f>
        <v xml:space="preserve"> </v>
      </c>
      <c r="D68" s="7" t="str">
        <f>IFERROR(VLOOKUP($A68,'Job Data'!$A$2:$P$220,3,FALSE)," ")</f>
        <v xml:space="preserve"> </v>
      </c>
      <c r="E68" s="7" t="str">
        <f>IFERROR(VLOOKUP($A68,'Job Data'!$A$2:$P$220,14,FALSE)," ")</f>
        <v xml:space="preserve"> </v>
      </c>
      <c r="F68" s="1" t="e">
        <f>VLOOKUP($A68, 'Job Data'!$A$2:$P$220,15, FALSE)</f>
        <v>#N/A</v>
      </c>
      <c r="G68" s="16" t="str">
        <f t="shared" si="0"/>
        <v xml:space="preserve"> </v>
      </c>
      <c r="H68" s="1"/>
    </row>
    <row r="69" spans="3:8" ht="32.5" customHeight="1">
      <c r="C69" s="7" t="str">
        <f>IFERROR(VLOOKUP($A69, 'Job Data'!$A$2:$P$220,2, FALSE), " ")</f>
        <v xml:space="preserve"> </v>
      </c>
      <c r="D69" s="7" t="str">
        <f>IFERROR(VLOOKUP($A69,'Job Data'!$A$2:$P$220,3,FALSE)," ")</f>
        <v xml:space="preserve"> </v>
      </c>
      <c r="E69" s="7" t="str">
        <f>IFERROR(VLOOKUP($A69,'Job Data'!$A$2:$P$220,14,FALSE)," ")</f>
        <v xml:space="preserve"> </v>
      </c>
      <c r="F69" s="1" t="e">
        <f>VLOOKUP($A69, 'Job Data'!$A$2:$P$220,15, FALSE)</f>
        <v>#N/A</v>
      </c>
      <c r="G69" s="16" t="str">
        <f t="shared" si="0"/>
        <v xml:space="preserve"> </v>
      </c>
      <c r="H69" s="1"/>
    </row>
    <row r="70" spans="3:8" ht="32.5" customHeight="1">
      <c r="C70" s="7" t="str">
        <f>IFERROR(VLOOKUP($A70, 'Job Data'!$A$2:$P$220,2, FALSE), " ")</f>
        <v xml:space="preserve"> </v>
      </c>
      <c r="D70" s="7" t="str">
        <f>IFERROR(VLOOKUP($A70,'Job Data'!$A$2:$P$220,3,FALSE)," ")</f>
        <v xml:space="preserve"> </v>
      </c>
      <c r="E70" s="7" t="str">
        <f>IFERROR(VLOOKUP($A70,'Job Data'!$A$2:$P$220,14,FALSE)," ")</f>
        <v xml:space="preserve"> </v>
      </c>
      <c r="F70" s="1" t="e">
        <f>VLOOKUP($A70, 'Job Data'!$A$2:$P$220,15, FALSE)</f>
        <v>#N/A</v>
      </c>
      <c r="G70" s="16" t="str">
        <f t="shared" si="0"/>
        <v xml:space="preserve"> </v>
      </c>
      <c r="H70" s="1"/>
    </row>
    <row r="71" spans="3:8" ht="32.5" customHeight="1">
      <c r="C71" s="7" t="str">
        <f>IFERROR(VLOOKUP($A71, 'Job Data'!$A$2:$P$220,2, FALSE), " ")</f>
        <v xml:space="preserve"> </v>
      </c>
      <c r="D71" s="7" t="str">
        <f>IFERROR(VLOOKUP($A71,'Job Data'!$A$2:$P$220,3,FALSE)," ")</f>
        <v xml:space="preserve"> </v>
      </c>
      <c r="E71" s="7" t="str">
        <f>IFERROR(VLOOKUP($A71,'Job Data'!$A$2:$P$220,14,FALSE)," ")</f>
        <v xml:space="preserve"> </v>
      </c>
      <c r="F71" s="1" t="e">
        <f>VLOOKUP($A71, 'Job Data'!$A$2:$P$220,15, FALSE)</f>
        <v>#N/A</v>
      </c>
      <c r="G71" s="16" t="str">
        <f t="shared" si="0"/>
        <v xml:space="preserve"> </v>
      </c>
      <c r="H71" s="1"/>
    </row>
    <row r="72" spans="3:8" ht="32.5" customHeight="1">
      <c r="C72" s="7" t="str">
        <f>IFERROR(VLOOKUP($A72, 'Job Data'!$A$2:$P$220,2, FALSE), " ")</f>
        <v xml:space="preserve"> </v>
      </c>
      <c r="D72" s="7" t="str">
        <f>IFERROR(VLOOKUP($A72,'Job Data'!$A$2:$P$220,3,FALSE)," ")</f>
        <v xml:space="preserve"> </v>
      </c>
      <c r="E72" s="7" t="str">
        <f>IFERROR(VLOOKUP($A72,'Job Data'!$A$2:$P$220,14,FALSE)," ")</f>
        <v xml:space="preserve"> </v>
      </c>
      <c r="F72" s="1" t="e">
        <f>VLOOKUP($A72, 'Job Data'!$A$2:$P$220,15, FALSE)</f>
        <v>#N/A</v>
      </c>
      <c r="G72" s="16" t="str">
        <f t="shared" si="0"/>
        <v xml:space="preserve"> </v>
      </c>
      <c r="H72" s="1"/>
    </row>
    <row r="73" spans="3:8" ht="32.5" customHeight="1">
      <c r="C73" s="7" t="str">
        <f>IFERROR(VLOOKUP($A73, 'Job Data'!$A$2:$P$220,2, FALSE), " ")</f>
        <v xml:space="preserve"> </v>
      </c>
      <c r="D73" s="7" t="str">
        <f>IFERROR(VLOOKUP($A73,'Job Data'!$A$2:$P$220,3,FALSE)," ")</f>
        <v xml:space="preserve"> </v>
      </c>
      <c r="E73" s="7" t="str">
        <f>IFERROR(VLOOKUP($A73,'Job Data'!$A$2:$P$220,14,FALSE)," ")</f>
        <v xml:space="preserve"> </v>
      </c>
      <c r="F73" s="1" t="e">
        <f>VLOOKUP($A73, 'Job Data'!$A$2:$P$220,15, FALSE)</f>
        <v>#N/A</v>
      </c>
      <c r="G73" s="16" t="str">
        <f t="shared" ref="G73:G124" si="1">IFERROR(HYPERLINK(SUBSTITUTE(SUBSTITUTE(F73,"C:\Users\wubia\OneDrive - Longi Magnet Australia Pty ltd\Documents - Longi Australia","C:\Users\wubia\OneDrive - Longi Magnet Australia Pty ltd\Documents - Longi Australia"),"\\","\\"),"Open Project Folder")," ")</f>
        <v xml:space="preserve"> </v>
      </c>
      <c r="H73" s="1"/>
    </row>
    <row r="74" spans="3:8" ht="32.5" customHeight="1">
      <c r="C74" s="7" t="str">
        <f>IFERROR(VLOOKUP($A74, 'Job Data'!$A$2:$P$220,2, FALSE), " ")</f>
        <v xml:space="preserve"> </v>
      </c>
      <c r="D74" s="7" t="str">
        <f>IFERROR(VLOOKUP($A74,'Job Data'!$A$2:$P$220,3,FALSE)," ")</f>
        <v xml:space="preserve"> </v>
      </c>
      <c r="E74" s="7" t="str">
        <f>IFERROR(VLOOKUP($A74,'Job Data'!$A$2:$P$220,14,FALSE)," ")</f>
        <v xml:space="preserve"> </v>
      </c>
      <c r="F74" s="1" t="e">
        <f>VLOOKUP($A74, 'Job Data'!$A$2:$P$220,15, FALSE)</f>
        <v>#N/A</v>
      </c>
      <c r="G74" s="16" t="str">
        <f t="shared" si="1"/>
        <v xml:space="preserve"> </v>
      </c>
      <c r="H74" s="1"/>
    </row>
    <row r="75" spans="3:8" ht="32.5" customHeight="1">
      <c r="C75" s="7" t="str">
        <f>IFERROR(VLOOKUP($A75, 'Job Data'!$A$2:$P$220,2, FALSE), " ")</f>
        <v xml:space="preserve"> </v>
      </c>
      <c r="D75" s="7" t="str">
        <f>IFERROR(VLOOKUP($A75,'Job Data'!$A$2:$P$220,3,FALSE)," ")</f>
        <v xml:space="preserve"> </v>
      </c>
      <c r="E75" s="7" t="str">
        <f>IFERROR(VLOOKUP($A75,'Job Data'!$A$2:$P$220,14,FALSE)," ")</f>
        <v xml:space="preserve"> </v>
      </c>
      <c r="F75" s="1" t="e">
        <f>VLOOKUP($A75, 'Job Data'!$A$2:$P$220,15, FALSE)</f>
        <v>#N/A</v>
      </c>
      <c r="G75" s="16" t="str">
        <f t="shared" si="1"/>
        <v xml:space="preserve"> </v>
      </c>
      <c r="H75" s="1"/>
    </row>
    <row r="76" spans="3:8" ht="32.5" customHeight="1">
      <c r="C76" s="7" t="str">
        <f>IFERROR(VLOOKUP($A76, 'Job Data'!$A$2:$P$220,2, FALSE), " ")</f>
        <v xml:space="preserve"> </v>
      </c>
      <c r="D76" s="7" t="str">
        <f>IFERROR(VLOOKUP($A76,'Job Data'!$A$2:$P$220,3,FALSE)," ")</f>
        <v xml:space="preserve"> </v>
      </c>
      <c r="E76" s="7" t="str">
        <f>IFERROR(VLOOKUP($A76,'Job Data'!$A$2:$P$220,14,FALSE)," ")</f>
        <v xml:space="preserve"> </v>
      </c>
      <c r="F76" s="1" t="e">
        <f>VLOOKUP($A76, 'Job Data'!$A$2:$P$220,15, FALSE)</f>
        <v>#N/A</v>
      </c>
      <c r="G76" s="16" t="str">
        <f t="shared" si="1"/>
        <v xml:space="preserve"> </v>
      </c>
      <c r="H76" s="1"/>
    </row>
    <row r="77" spans="3:8" ht="32.5" customHeight="1">
      <c r="C77" s="7" t="str">
        <f>IFERROR(VLOOKUP($A77, 'Job Data'!$A$2:$P$220,2, FALSE), " ")</f>
        <v xml:space="preserve"> </v>
      </c>
      <c r="D77" s="7" t="str">
        <f>IFERROR(VLOOKUP($A77,'Job Data'!$A$2:$P$220,3,FALSE)," ")</f>
        <v xml:space="preserve"> </v>
      </c>
      <c r="E77" s="7" t="str">
        <f>IFERROR(VLOOKUP($A77,'Job Data'!$A$2:$P$220,14,FALSE)," ")</f>
        <v xml:space="preserve"> </v>
      </c>
      <c r="F77" s="1" t="e">
        <f>VLOOKUP($A77, 'Job Data'!$A$2:$P$220,15, FALSE)</f>
        <v>#N/A</v>
      </c>
      <c r="G77" s="16" t="str">
        <f t="shared" si="1"/>
        <v xml:space="preserve"> </v>
      </c>
      <c r="H77" s="1"/>
    </row>
    <row r="78" spans="3:8" ht="32.5" customHeight="1">
      <c r="C78" s="7" t="str">
        <f>IFERROR(VLOOKUP($A78, 'Job Data'!$A$2:$P$220,2, FALSE), " ")</f>
        <v xml:space="preserve"> </v>
      </c>
      <c r="D78" s="7" t="str">
        <f>IFERROR(VLOOKUP($A78,'Job Data'!$A$2:$P$220,3,FALSE)," ")</f>
        <v xml:space="preserve"> </v>
      </c>
      <c r="E78" s="7" t="str">
        <f>IFERROR(VLOOKUP($A78,'Job Data'!$A$2:$P$220,14,FALSE)," ")</f>
        <v xml:space="preserve"> </v>
      </c>
      <c r="F78" s="1" t="e">
        <f>VLOOKUP($A78, 'Job Data'!$A$2:$P$220,15, FALSE)</f>
        <v>#N/A</v>
      </c>
      <c r="G78" s="16" t="str">
        <f t="shared" si="1"/>
        <v xml:space="preserve"> </v>
      </c>
      <c r="H78" s="1"/>
    </row>
    <row r="79" spans="3:8" ht="32.5" customHeight="1">
      <c r="C79" s="7" t="str">
        <f>IFERROR(VLOOKUP($A79, 'Job Data'!$A$2:$P$220,2, FALSE), " ")</f>
        <v xml:space="preserve"> </v>
      </c>
      <c r="D79" s="7" t="str">
        <f>IFERROR(VLOOKUP($A79,'Job Data'!$A$2:$P$220,3,FALSE)," ")</f>
        <v xml:space="preserve"> </v>
      </c>
      <c r="E79" s="7" t="str">
        <f>IFERROR(VLOOKUP($A79,'Job Data'!$A$2:$P$220,14,FALSE)," ")</f>
        <v xml:space="preserve"> </v>
      </c>
      <c r="F79" s="1" t="e">
        <f>VLOOKUP($A79, 'Job Data'!$A$2:$P$220,15, FALSE)</f>
        <v>#N/A</v>
      </c>
      <c r="G79" s="16" t="str">
        <f t="shared" si="1"/>
        <v xml:space="preserve"> </v>
      </c>
      <c r="H79" s="1"/>
    </row>
    <row r="80" spans="3:8" ht="32.5" customHeight="1">
      <c r="C80" s="7" t="str">
        <f>IFERROR(VLOOKUP($A80, 'Job Data'!$A$2:$P$220,2, FALSE), " ")</f>
        <v xml:space="preserve"> </v>
      </c>
      <c r="D80" s="7" t="str">
        <f>IFERROR(VLOOKUP($A80,'Job Data'!$A$2:$P$220,3,FALSE)," ")</f>
        <v xml:space="preserve"> </v>
      </c>
      <c r="E80" s="7" t="str">
        <f>IFERROR(VLOOKUP($A80,'Job Data'!$A$2:$P$220,14,FALSE)," ")</f>
        <v xml:space="preserve"> </v>
      </c>
      <c r="F80" s="1" t="e">
        <f>VLOOKUP($A80, 'Job Data'!$A$2:$P$220,15, FALSE)</f>
        <v>#N/A</v>
      </c>
      <c r="G80" s="16" t="str">
        <f t="shared" si="1"/>
        <v xml:space="preserve"> </v>
      </c>
      <c r="H80" s="1"/>
    </row>
    <row r="81" spans="3:8" ht="32.5" customHeight="1">
      <c r="C81" s="7" t="str">
        <f>IFERROR(VLOOKUP($A81, 'Job Data'!$A$2:$P$220,2, FALSE), " ")</f>
        <v xml:space="preserve"> </v>
      </c>
      <c r="D81" s="7" t="str">
        <f>IFERROR(VLOOKUP($A81,'Job Data'!$A$2:$P$220,3,FALSE)," ")</f>
        <v xml:space="preserve"> </v>
      </c>
      <c r="E81" s="7" t="str">
        <f>IFERROR(VLOOKUP($A81,'Job Data'!$A$2:$P$220,14,FALSE)," ")</f>
        <v xml:space="preserve"> </v>
      </c>
      <c r="F81" s="1" t="e">
        <f>VLOOKUP($A81, 'Job Data'!$A$2:$P$220,15, FALSE)</f>
        <v>#N/A</v>
      </c>
      <c r="G81" s="16" t="str">
        <f t="shared" si="1"/>
        <v xml:space="preserve"> </v>
      </c>
      <c r="H81" s="1"/>
    </row>
    <row r="82" spans="3:8" ht="32.5" customHeight="1">
      <c r="C82" s="7" t="str">
        <f>IFERROR(VLOOKUP($A82, 'Job Data'!$A$2:$P$220,2, FALSE), " ")</f>
        <v xml:space="preserve"> </v>
      </c>
      <c r="D82" s="7" t="str">
        <f>IFERROR(VLOOKUP($A82,'Job Data'!$A$2:$P$220,3,FALSE)," ")</f>
        <v xml:space="preserve"> </v>
      </c>
      <c r="E82" s="7" t="str">
        <f>IFERROR(VLOOKUP($A82,'Job Data'!$A$2:$P$220,14,FALSE)," ")</f>
        <v xml:space="preserve"> </v>
      </c>
      <c r="F82" s="1" t="e">
        <f>VLOOKUP($A82, 'Job Data'!$A$2:$P$220,15, FALSE)</f>
        <v>#N/A</v>
      </c>
      <c r="G82" s="16" t="str">
        <f t="shared" si="1"/>
        <v xml:space="preserve"> </v>
      </c>
      <c r="H82" s="1"/>
    </row>
    <row r="83" spans="3:8" ht="32.5" customHeight="1">
      <c r="C83" s="7" t="str">
        <f>IFERROR(VLOOKUP($A83, 'Job Data'!$A$2:$P$220,2, FALSE), " ")</f>
        <v xml:space="preserve"> </v>
      </c>
      <c r="D83" s="7" t="str">
        <f>IFERROR(VLOOKUP($A83,'Job Data'!$A$2:$P$220,3,FALSE)," ")</f>
        <v xml:space="preserve"> </v>
      </c>
      <c r="E83" s="7" t="str">
        <f>IFERROR(VLOOKUP($A83,'Job Data'!$A$2:$P$220,14,FALSE)," ")</f>
        <v xml:space="preserve"> </v>
      </c>
      <c r="F83" s="1" t="e">
        <f>VLOOKUP($A83, 'Job Data'!$A$2:$P$220,15, FALSE)</f>
        <v>#N/A</v>
      </c>
      <c r="G83" s="16" t="str">
        <f t="shared" si="1"/>
        <v xml:space="preserve"> </v>
      </c>
      <c r="H83" s="1"/>
    </row>
    <row r="84" spans="3:8" ht="32.5" customHeight="1">
      <c r="C84" s="7" t="str">
        <f>IFERROR(VLOOKUP($A84, 'Job Data'!$A$2:$P$220,2, FALSE), " ")</f>
        <v xml:space="preserve"> </v>
      </c>
      <c r="D84" s="7" t="str">
        <f>IFERROR(VLOOKUP($A84,'Job Data'!$A$2:$P$220,3,FALSE)," ")</f>
        <v xml:space="preserve"> </v>
      </c>
      <c r="E84" s="7" t="str">
        <f>IFERROR(VLOOKUP($A84,'Job Data'!$A$2:$P$220,14,FALSE)," ")</f>
        <v xml:space="preserve"> </v>
      </c>
      <c r="F84" s="1" t="e">
        <f>VLOOKUP($A84, 'Job Data'!$A$2:$P$220,15, FALSE)</f>
        <v>#N/A</v>
      </c>
      <c r="G84" s="16" t="str">
        <f t="shared" si="1"/>
        <v xml:space="preserve"> </v>
      </c>
      <c r="H84" s="1"/>
    </row>
    <row r="85" spans="3:8" ht="32.5" customHeight="1">
      <c r="C85" s="7" t="str">
        <f>IFERROR(VLOOKUP($A85, 'Job Data'!$A$2:$P$220,2, FALSE), " ")</f>
        <v xml:space="preserve"> </v>
      </c>
      <c r="D85" s="7" t="str">
        <f>IFERROR(VLOOKUP($A85,'Job Data'!$A$2:$P$220,3,FALSE)," ")</f>
        <v xml:space="preserve"> </v>
      </c>
      <c r="E85" s="7" t="str">
        <f>IFERROR(VLOOKUP($A85,'Job Data'!$A$2:$P$220,14,FALSE)," ")</f>
        <v xml:space="preserve"> </v>
      </c>
      <c r="F85" s="1" t="e">
        <f>VLOOKUP($A85, 'Job Data'!$A$2:$P$220,15, FALSE)</f>
        <v>#N/A</v>
      </c>
      <c r="G85" s="16" t="str">
        <f t="shared" si="1"/>
        <v xml:space="preserve"> </v>
      </c>
      <c r="H85" s="1"/>
    </row>
    <row r="86" spans="3:8" ht="32.5" customHeight="1">
      <c r="C86" s="7" t="str">
        <f>IFERROR(VLOOKUP($A86, 'Job Data'!$A$2:$P$220,2, FALSE), " ")</f>
        <v xml:space="preserve"> </v>
      </c>
      <c r="D86" s="7" t="str">
        <f>IFERROR(VLOOKUP($A86,'Job Data'!$A$2:$P$220,3,FALSE)," ")</f>
        <v xml:space="preserve"> </v>
      </c>
      <c r="E86" s="7" t="str">
        <f>IFERROR(VLOOKUP($A86,'Job Data'!$A$2:$P$220,14,FALSE)," ")</f>
        <v xml:space="preserve"> </v>
      </c>
      <c r="F86" s="1" t="e">
        <f>VLOOKUP($A86, 'Job Data'!$A$2:$P$220,15, FALSE)</f>
        <v>#N/A</v>
      </c>
      <c r="G86" s="16" t="str">
        <f t="shared" si="1"/>
        <v xml:space="preserve"> </v>
      </c>
      <c r="H86" s="1"/>
    </row>
    <row r="87" spans="3:8" ht="32.5" customHeight="1">
      <c r="C87" s="7" t="str">
        <f>IFERROR(VLOOKUP($A87, 'Job Data'!$A$2:$P$220,2, FALSE), " ")</f>
        <v xml:space="preserve"> </v>
      </c>
      <c r="D87" s="7" t="str">
        <f>IFERROR(VLOOKUP($A87,'Job Data'!$A$2:$P$220,3,FALSE)," ")</f>
        <v xml:space="preserve"> </v>
      </c>
      <c r="E87" s="7" t="str">
        <f>IFERROR(VLOOKUP($A87,'Job Data'!$A$2:$P$220,14,FALSE)," ")</f>
        <v xml:space="preserve"> </v>
      </c>
      <c r="F87" s="1" t="e">
        <f>VLOOKUP($A87, 'Job Data'!$A$2:$P$220,15, FALSE)</f>
        <v>#N/A</v>
      </c>
      <c r="G87" s="16" t="str">
        <f t="shared" si="1"/>
        <v xml:space="preserve"> </v>
      </c>
      <c r="H87" s="1"/>
    </row>
    <row r="88" spans="3:8" ht="32.5" customHeight="1">
      <c r="C88" s="7" t="str">
        <f>IFERROR(VLOOKUP($A88, 'Job Data'!$A$2:$P$220,2, FALSE), " ")</f>
        <v xml:space="preserve"> </v>
      </c>
      <c r="D88" s="7" t="str">
        <f>IFERROR(VLOOKUP($A88,'Job Data'!$A$2:$P$220,3,FALSE)," ")</f>
        <v xml:space="preserve"> </v>
      </c>
      <c r="E88" s="7" t="str">
        <f>IFERROR(VLOOKUP($A88,'Job Data'!$A$2:$P$220,14,FALSE)," ")</f>
        <v xml:space="preserve"> </v>
      </c>
      <c r="F88" s="1" t="e">
        <f>VLOOKUP($A88, 'Job Data'!$A$2:$P$220,15, FALSE)</f>
        <v>#N/A</v>
      </c>
      <c r="G88" s="16" t="str">
        <f t="shared" si="1"/>
        <v xml:space="preserve"> </v>
      </c>
      <c r="H88" s="1"/>
    </row>
    <row r="89" spans="3:8" ht="32.5" customHeight="1">
      <c r="C89" s="7" t="str">
        <f>IFERROR(VLOOKUP($A89, 'Job Data'!$A$2:$P$220,2, FALSE), " ")</f>
        <v xml:space="preserve"> </v>
      </c>
      <c r="D89" s="7" t="str">
        <f>IFERROR(VLOOKUP($A89,'Job Data'!$A$2:$P$220,3,FALSE)," ")</f>
        <v xml:space="preserve"> </v>
      </c>
      <c r="E89" s="7" t="str">
        <f>IFERROR(VLOOKUP($A89,'Job Data'!$A$2:$P$220,14,FALSE)," ")</f>
        <v xml:space="preserve"> </v>
      </c>
      <c r="F89" s="1" t="e">
        <f>VLOOKUP($A89, 'Job Data'!$A$2:$P$220,15, FALSE)</f>
        <v>#N/A</v>
      </c>
      <c r="G89" s="16" t="str">
        <f t="shared" si="1"/>
        <v xml:space="preserve"> </v>
      </c>
      <c r="H89" s="1"/>
    </row>
    <row r="90" spans="3:8" ht="32.5" customHeight="1">
      <c r="C90" s="7" t="str">
        <f>IFERROR(VLOOKUP($A90, 'Job Data'!$A$2:$P$220,2, FALSE), " ")</f>
        <v xml:space="preserve"> </v>
      </c>
      <c r="D90" s="7" t="str">
        <f>IFERROR(VLOOKUP($A90,'Job Data'!$A$2:$P$220,3,FALSE)," ")</f>
        <v xml:space="preserve"> </v>
      </c>
      <c r="E90" s="7" t="str">
        <f>IFERROR(VLOOKUP($A90,'Job Data'!$A$2:$P$220,14,FALSE)," ")</f>
        <v xml:space="preserve"> </v>
      </c>
      <c r="F90" s="1" t="e">
        <f>VLOOKUP($A90, 'Job Data'!$A$2:$P$220,15, FALSE)</f>
        <v>#N/A</v>
      </c>
      <c r="G90" s="16" t="str">
        <f t="shared" si="1"/>
        <v xml:space="preserve"> </v>
      </c>
      <c r="H90" s="1"/>
    </row>
    <row r="91" spans="3:8" ht="32.5" customHeight="1">
      <c r="C91" s="7" t="str">
        <f>IFERROR(VLOOKUP($A91, 'Job Data'!$A$2:$P$220,2, FALSE), " ")</f>
        <v xml:space="preserve"> </v>
      </c>
      <c r="D91" s="7" t="str">
        <f>IFERROR(VLOOKUP($A91,'Job Data'!$A$2:$P$220,3,FALSE)," ")</f>
        <v xml:space="preserve"> </v>
      </c>
      <c r="E91" s="7" t="str">
        <f>IFERROR(VLOOKUP($A91,'Job Data'!$A$2:$P$220,14,FALSE)," ")</f>
        <v xml:space="preserve"> </v>
      </c>
      <c r="F91" s="1" t="e">
        <f>VLOOKUP($A91, 'Job Data'!$A$2:$P$220,15, FALSE)</f>
        <v>#N/A</v>
      </c>
      <c r="G91" s="16" t="str">
        <f t="shared" si="1"/>
        <v xml:space="preserve"> </v>
      </c>
      <c r="H91" s="1"/>
    </row>
    <row r="92" spans="3:8" ht="32.5" customHeight="1">
      <c r="C92" s="7" t="str">
        <f>IFERROR(VLOOKUP($A92, 'Job Data'!$A$2:$P$220,2, FALSE), " ")</f>
        <v xml:space="preserve"> </v>
      </c>
      <c r="D92" s="7" t="str">
        <f>IFERROR(VLOOKUP($A92,'Job Data'!$A$2:$P$220,3,FALSE)," ")</f>
        <v xml:space="preserve"> </v>
      </c>
      <c r="E92" s="7" t="str">
        <f>IFERROR(VLOOKUP($A92,'Job Data'!$A$2:$P$220,14,FALSE)," ")</f>
        <v xml:space="preserve"> </v>
      </c>
      <c r="F92" s="1" t="e">
        <f>VLOOKUP($A92, 'Job Data'!$A$2:$P$220,15, FALSE)</f>
        <v>#N/A</v>
      </c>
      <c r="G92" s="16" t="str">
        <f t="shared" si="1"/>
        <v xml:space="preserve"> </v>
      </c>
      <c r="H92" s="1"/>
    </row>
    <row r="93" spans="3:8" ht="32.5" customHeight="1">
      <c r="C93" s="7" t="str">
        <f>IFERROR(VLOOKUP($A93, 'Job Data'!$A$2:$P$220,2, FALSE), " ")</f>
        <v xml:space="preserve"> </v>
      </c>
      <c r="D93" s="7" t="str">
        <f>IFERROR(VLOOKUP($A93,'Job Data'!$A$2:$P$220,3,FALSE)," ")</f>
        <v xml:space="preserve"> </v>
      </c>
      <c r="E93" s="7" t="str">
        <f>IFERROR(VLOOKUP($A93,'Job Data'!$A$2:$P$220,14,FALSE)," ")</f>
        <v xml:space="preserve"> </v>
      </c>
      <c r="F93" s="1" t="e">
        <f>VLOOKUP($A93, 'Job Data'!$A$2:$P$220,15, FALSE)</f>
        <v>#N/A</v>
      </c>
      <c r="G93" s="16" t="str">
        <f t="shared" si="1"/>
        <v xml:space="preserve"> </v>
      </c>
      <c r="H93" s="1"/>
    </row>
    <row r="94" spans="3:8" ht="32.5" customHeight="1">
      <c r="C94" s="7" t="str">
        <f>IFERROR(VLOOKUP($A94, 'Job Data'!$A$2:$P$220,2, FALSE), " ")</f>
        <v xml:space="preserve"> </v>
      </c>
      <c r="D94" s="7" t="str">
        <f>IFERROR(VLOOKUP($A94,'Job Data'!$A$2:$P$220,3,FALSE)," ")</f>
        <v xml:space="preserve"> </v>
      </c>
      <c r="E94" s="7" t="str">
        <f>IFERROR(VLOOKUP($A94,'Job Data'!$A$2:$P$220,14,FALSE)," ")</f>
        <v xml:space="preserve"> </v>
      </c>
      <c r="F94" s="1" t="e">
        <f>VLOOKUP($A94, 'Job Data'!$A$2:$P$220,15, FALSE)</f>
        <v>#N/A</v>
      </c>
      <c r="G94" s="16" t="str">
        <f t="shared" si="1"/>
        <v xml:space="preserve"> </v>
      </c>
      <c r="H94" s="1"/>
    </row>
    <row r="95" spans="3:8" ht="32.5" customHeight="1">
      <c r="C95" s="7" t="str">
        <f>IFERROR(VLOOKUP($A95, 'Job Data'!$A$2:$P$220,2, FALSE), " ")</f>
        <v xml:space="preserve"> </v>
      </c>
      <c r="D95" s="7" t="str">
        <f>IFERROR(VLOOKUP($A95,'Job Data'!$A$2:$P$220,3,FALSE)," ")</f>
        <v xml:space="preserve"> </v>
      </c>
      <c r="E95" s="7" t="str">
        <f>IFERROR(VLOOKUP($A95,'Job Data'!$A$2:$P$220,14,FALSE)," ")</f>
        <v xml:space="preserve"> </v>
      </c>
      <c r="F95" s="1" t="e">
        <f>VLOOKUP($A95, 'Job Data'!$A$2:$P$220,15, FALSE)</f>
        <v>#N/A</v>
      </c>
      <c r="G95" s="16" t="str">
        <f t="shared" si="1"/>
        <v xml:space="preserve"> </v>
      </c>
      <c r="H95" s="1"/>
    </row>
    <row r="96" spans="3:8" ht="32.5" customHeight="1">
      <c r="C96" s="7" t="str">
        <f>IFERROR(VLOOKUP($A96, 'Job Data'!$A$2:$P$220,2, FALSE), " ")</f>
        <v xml:space="preserve"> </v>
      </c>
      <c r="D96" s="7" t="str">
        <f>IFERROR(VLOOKUP($A96,'Job Data'!$A$2:$P$220,3,FALSE)," ")</f>
        <v xml:space="preserve"> </v>
      </c>
      <c r="E96" s="7" t="str">
        <f>IFERROR(VLOOKUP($A96,'Job Data'!$A$2:$P$220,14,FALSE)," ")</f>
        <v xml:space="preserve"> </v>
      </c>
      <c r="F96" s="1" t="e">
        <f>VLOOKUP($A96, 'Job Data'!$A$2:$P$220,15, FALSE)</f>
        <v>#N/A</v>
      </c>
      <c r="G96" s="16" t="str">
        <f t="shared" si="1"/>
        <v xml:space="preserve"> </v>
      </c>
      <c r="H96" s="1"/>
    </row>
    <row r="97" spans="3:8" ht="32.5" customHeight="1">
      <c r="C97" s="7" t="str">
        <f>IFERROR(VLOOKUP($A97, 'Job Data'!$A$2:$P$220,2, FALSE), " ")</f>
        <v xml:space="preserve"> </v>
      </c>
      <c r="D97" s="7" t="str">
        <f>IFERROR(VLOOKUP($A97,'Job Data'!$A$2:$P$220,3,FALSE)," ")</f>
        <v xml:space="preserve"> </v>
      </c>
      <c r="E97" s="7" t="str">
        <f>IFERROR(VLOOKUP($A97,'Job Data'!$A$2:$P$220,14,FALSE)," ")</f>
        <v xml:space="preserve"> </v>
      </c>
      <c r="F97" s="1" t="e">
        <f>VLOOKUP($A97, 'Job Data'!$A$2:$P$220,15, FALSE)</f>
        <v>#N/A</v>
      </c>
      <c r="G97" s="16" t="str">
        <f t="shared" si="1"/>
        <v xml:space="preserve"> </v>
      </c>
      <c r="H97" s="1"/>
    </row>
    <row r="98" spans="3:8" ht="32.5" customHeight="1">
      <c r="C98" s="7" t="str">
        <f>IFERROR(VLOOKUP($A98, 'Job Data'!$A$2:$P$220,2, FALSE), " ")</f>
        <v xml:space="preserve"> </v>
      </c>
      <c r="D98" s="7" t="str">
        <f>IFERROR(VLOOKUP($A98,'Job Data'!$A$2:$P$220,3,FALSE)," ")</f>
        <v xml:space="preserve"> </v>
      </c>
      <c r="E98" s="7" t="str">
        <f>IFERROR(VLOOKUP($A98,'Job Data'!$A$2:$P$220,14,FALSE)," ")</f>
        <v xml:space="preserve"> </v>
      </c>
      <c r="F98" s="1" t="e">
        <f>VLOOKUP($A98, 'Job Data'!$A$2:$P$220,15, FALSE)</f>
        <v>#N/A</v>
      </c>
      <c r="G98" s="16" t="str">
        <f t="shared" si="1"/>
        <v xml:space="preserve"> </v>
      </c>
      <c r="H98" s="1"/>
    </row>
    <row r="99" spans="3:8" ht="32.5" customHeight="1">
      <c r="C99" s="7" t="str">
        <f>IFERROR(VLOOKUP($A99, 'Job Data'!$A$2:$P$220,2, FALSE), " ")</f>
        <v xml:space="preserve"> </v>
      </c>
      <c r="D99" s="7" t="str">
        <f>IFERROR(VLOOKUP($A99,'Job Data'!$A$2:$P$220,3,FALSE)," ")</f>
        <v xml:space="preserve"> </v>
      </c>
      <c r="E99" s="7" t="str">
        <f>IFERROR(VLOOKUP($A99,'Job Data'!$A$2:$P$220,14,FALSE)," ")</f>
        <v xml:space="preserve"> </v>
      </c>
      <c r="F99" s="1" t="e">
        <f>VLOOKUP($A99, 'Job Data'!$A$2:$P$220,15, FALSE)</f>
        <v>#N/A</v>
      </c>
      <c r="G99" s="16" t="str">
        <f t="shared" si="1"/>
        <v xml:space="preserve"> </v>
      </c>
      <c r="H99" s="1"/>
    </row>
    <row r="100" spans="3:8" ht="32.5" customHeight="1">
      <c r="C100" s="7" t="str">
        <f>IFERROR(VLOOKUP($A100, 'Job Data'!$A$2:$P$220,2, FALSE), " ")</f>
        <v xml:space="preserve"> </v>
      </c>
      <c r="D100" s="7" t="str">
        <f>IFERROR(VLOOKUP($A100,'Job Data'!$A$2:$P$220,3,FALSE)," ")</f>
        <v xml:space="preserve"> </v>
      </c>
      <c r="E100" s="7" t="str">
        <f>IFERROR(VLOOKUP($A100,'Job Data'!$A$2:$P$220,14,FALSE)," ")</f>
        <v xml:space="preserve"> </v>
      </c>
      <c r="F100" s="1" t="e">
        <f>VLOOKUP($A100, 'Job Data'!$A$2:$P$220,15, FALSE)</f>
        <v>#N/A</v>
      </c>
      <c r="G100" s="16" t="str">
        <f t="shared" si="1"/>
        <v xml:space="preserve"> </v>
      </c>
      <c r="H100" s="1"/>
    </row>
    <row r="101" spans="3:8" ht="32.5" customHeight="1">
      <c r="C101" s="7" t="str">
        <f>IFERROR(VLOOKUP($A101, 'Job Data'!$A$2:$P$220,2, FALSE), " ")</f>
        <v xml:space="preserve"> </v>
      </c>
      <c r="D101" s="7" t="str">
        <f>IFERROR(VLOOKUP($A101,'Job Data'!$A$2:$P$220,3,FALSE)," ")</f>
        <v xml:space="preserve"> </v>
      </c>
      <c r="E101" s="7" t="str">
        <f>IFERROR(VLOOKUP($A101,'Job Data'!$A$2:$P$220,14,FALSE)," ")</f>
        <v xml:space="preserve"> </v>
      </c>
      <c r="F101" s="1" t="e">
        <f>VLOOKUP($A101, 'Job Data'!$A$2:$P$220,15, FALSE)</f>
        <v>#N/A</v>
      </c>
      <c r="G101" s="16" t="str">
        <f t="shared" si="1"/>
        <v xml:space="preserve"> </v>
      </c>
      <c r="H101" s="1"/>
    </row>
    <row r="102" spans="3:8" ht="32.5" customHeight="1">
      <c r="C102" s="7" t="str">
        <f>IFERROR(VLOOKUP($A102, 'Job Data'!$A$2:$P$220,2, FALSE), " ")</f>
        <v xml:space="preserve"> </v>
      </c>
      <c r="D102" s="7" t="str">
        <f>IFERROR(VLOOKUP($A102,'Job Data'!$A$2:$P$220,3,FALSE)," ")</f>
        <v xml:space="preserve"> </v>
      </c>
      <c r="E102" s="7" t="str">
        <f>IFERROR(VLOOKUP($A102,'Job Data'!$A$2:$P$220,14,FALSE)," ")</f>
        <v xml:space="preserve"> </v>
      </c>
      <c r="F102" s="1" t="e">
        <f>VLOOKUP($A102, 'Job Data'!$A$2:$P$220,15, FALSE)</f>
        <v>#N/A</v>
      </c>
      <c r="G102" s="16" t="str">
        <f t="shared" si="1"/>
        <v xml:space="preserve"> </v>
      </c>
      <c r="H102" s="1"/>
    </row>
    <row r="103" spans="3:8" ht="32.5" customHeight="1">
      <c r="C103" s="7" t="str">
        <f>IFERROR(VLOOKUP($A103, 'Job Data'!$A$2:$P$220,2, FALSE), " ")</f>
        <v xml:space="preserve"> </v>
      </c>
      <c r="D103" s="7" t="str">
        <f>IFERROR(VLOOKUP($A103,'Job Data'!$A$2:$P$220,3,FALSE)," ")</f>
        <v xml:space="preserve"> </v>
      </c>
      <c r="E103" s="7" t="str">
        <f>IFERROR(VLOOKUP($A103,'Job Data'!$A$2:$P$220,14,FALSE)," ")</f>
        <v xml:space="preserve"> </v>
      </c>
      <c r="F103" s="1" t="e">
        <f>VLOOKUP($A103, 'Job Data'!$A$2:$P$220,15, FALSE)</f>
        <v>#N/A</v>
      </c>
      <c r="G103" s="16" t="str">
        <f t="shared" si="1"/>
        <v xml:space="preserve"> </v>
      </c>
      <c r="H103" s="1"/>
    </row>
    <row r="104" spans="3:8" ht="32.5" customHeight="1">
      <c r="C104" s="7" t="str">
        <f>IFERROR(VLOOKUP($A104, 'Job Data'!$A$2:$P$220,2, FALSE), " ")</f>
        <v xml:space="preserve"> </v>
      </c>
      <c r="D104" s="7" t="str">
        <f>IFERROR(VLOOKUP($A104,'Job Data'!$A$2:$P$220,3,FALSE)," ")</f>
        <v xml:space="preserve"> </v>
      </c>
      <c r="E104" s="7" t="str">
        <f>IFERROR(VLOOKUP($A104,'Job Data'!$A$2:$P$220,14,FALSE)," ")</f>
        <v xml:space="preserve"> </v>
      </c>
      <c r="F104" s="1" t="e">
        <f>VLOOKUP($A104, 'Job Data'!$A$2:$P$220,15, FALSE)</f>
        <v>#N/A</v>
      </c>
      <c r="G104" s="16" t="str">
        <f t="shared" si="1"/>
        <v xml:space="preserve"> </v>
      </c>
      <c r="H104" s="1"/>
    </row>
    <row r="105" spans="3:8" ht="32.5" customHeight="1">
      <c r="C105" s="7" t="str">
        <f>IFERROR(VLOOKUP($A105, 'Job Data'!$A$2:$P$220,2, FALSE), " ")</f>
        <v xml:space="preserve"> </v>
      </c>
      <c r="D105" s="7" t="str">
        <f>IFERROR(VLOOKUP($A105,'Job Data'!$A$2:$P$220,3,FALSE)," ")</f>
        <v xml:space="preserve"> </v>
      </c>
      <c r="E105" s="7" t="str">
        <f>IFERROR(VLOOKUP($A105,'Job Data'!$A$2:$P$220,14,FALSE)," ")</f>
        <v xml:space="preserve"> </v>
      </c>
      <c r="F105" s="1" t="e">
        <f>VLOOKUP($A105, 'Job Data'!$A$2:$P$220,15, FALSE)</f>
        <v>#N/A</v>
      </c>
      <c r="G105" s="16" t="str">
        <f t="shared" si="1"/>
        <v xml:space="preserve"> </v>
      </c>
      <c r="H105" s="1"/>
    </row>
    <row r="106" spans="3:8" ht="32.5" customHeight="1">
      <c r="C106" s="7" t="str">
        <f>IFERROR(VLOOKUP($A106, 'Job Data'!$A$2:$P$220,2, FALSE), " ")</f>
        <v xml:space="preserve"> </v>
      </c>
      <c r="D106" s="7" t="str">
        <f>IFERROR(VLOOKUP($A106,'Job Data'!$A$2:$P$220,3,FALSE)," ")</f>
        <v xml:space="preserve"> </v>
      </c>
      <c r="E106" s="7" t="str">
        <f>IFERROR(VLOOKUP($A106,'Job Data'!$A$2:$P$220,14,FALSE)," ")</f>
        <v xml:space="preserve"> </v>
      </c>
      <c r="F106" s="1" t="e">
        <f>VLOOKUP($A106, 'Job Data'!$A$2:$P$220,15, FALSE)</f>
        <v>#N/A</v>
      </c>
      <c r="G106" s="16" t="str">
        <f t="shared" si="1"/>
        <v xml:space="preserve"> </v>
      </c>
      <c r="H106" s="1"/>
    </row>
    <row r="107" spans="3:8" ht="32.5" customHeight="1">
      <c r="C107" s="7" t="str">
        <f>IFERROR(VLOOKUP($A107, 'Job Data'!$A$2:$P$220,2, FALSE), " ")</f>
        <v xml:space="preserve"> </v>
      </c>
      <c r="D107" s="7" t="str">
        <f>IFERROR(VLOOKUP($A107,'Job Data'!$A$2:$P$220,3,FALSE)," ")</f>
        <v xml:space="preserve"> </v>
      </c>
      <c r="E107" s="7" t="str">
        <f>IFERROR(VLOOKUP($A107,'Job Data'!$A$2:$P$220,14,FALSE)," ")</f>
        <v xml:space="preserve"> </v>
      </c>
      <c r="F107" s="1" t="e">
        <f>VLOOKUP($A107, 'Job Data'!$A$2:$P$220,15, FALSE)</f>
        <v>#N/A</v>
      </c>
      <c r="G107" s="16" t="str">
        <f t="shared" si="1"/>
        <v xml:space="preserve"> </v>
      </c>
      <c r="H107" s="1"/>
    </row>
    <row r="108" spans="3:8" ht="32.5" customHeight="1">
      <c r="C108" s="7" t="str">
        <f>IFERROR(VLOOKUP($A108, 'Job Data'!$A$2:$P$220,2, FALSE), " ")</f>
        <v xml:space="preserve"> </v>
      </c>
      <c r="D108" s="7" t="str">
        <f>IFERROR(VLOOKUP($A108,'Job Data'!$A$2:$P$220,3,FALSE)," ")</f>
        <v xml:space="preserve"> </v>
      </c>
      <c r="E108" s="7" t="str">
        <f>IFERROR(VLOOKUP($A108,'Job Data'!$A$2:$P$220,14,FALSE)," ")</f>
        <v xml:space="preserve"> </v>
      </c>
      <c r="F108" s="1" t="e">
        <f>VLOOKUP($A108, 'Job Data'!$A$2:$P$220,15, FALSE)</f>
        <v>#N/A</v>
      </c>
      <c r="G108" s="16" t="str">
        <f t="shared" si="1"/>
        <v xml:space="preserve"> </v>
      </c>
      <c r="H108" s="1"/>
    </row>
    <row r="109" spans="3:8" ht="32.5" customHeight="1">
      <c r="C109" s="7" t="str">
        <f>IFERROR(VLOOKUP($A109, 'Job Data'!$A$2:$P$220,2, FALSE), " ")</f>
        <v xml:space="preserve"> </v>
      </c>
      <c r="D109" s="7" t="str">
        <f>IFERROR(VLOOKUP($A109,'Job Data'!$A$2:$P$220,3,FALSE)," ")</f>
        <v xml:space="preserve"> </v>
      </c>
      <c r="E109" s="7" t="str">
        <f>IFERROR(VLOOKUP($A109,'Job Data'!$A$2:$P$220,14,FALSE)," ")</f>
        <v xml:space="preserve"> </v>
      </c>
      <c r="F109" s="1" t="e">
        <f>VLOOKUP($A109, 'Job Data'!$A$2:$P$220,15, FALSE)</f>
        <v>#N/A</v>
      </c>
      <c r="G109" s="16" t="str">
        <f t="shared" si="1"/>
        <v xml:space="preserve"> </v>
      </c>
      <c r="H109" s="1"/>
    </row>
    <row r="110" spans="3:8" ht="32.5" customHeight="1">
      <c r="C110" s="7" t="str">
        <f>IFERROR(VLOOKUP($A110, 'Job Data'!$A$2:$P$220,2, FALSE), " ")</f>
        <v xml:space="preserve"> </v>
      </c>
      <c r="D110" s="7" t="str">
        <f>IFERROR(VLOOKUP($A110,'Job Data'!$A$2:$P$220,3,FALSE)," ")</f>
        <v xml:space="preserve"> </v>
      </c>
      <c r="E110" s="7" t="str">
        <f>IFERROR(VLOOKUP($A110,'Job Data'!$A$2:$P$220,14,FALSE)," ")</f>
        <v xml:space="preserve"> </v>
      </c>
      <c r="F110" s="1" t="e">
        <f>VLOOKUP($A110, 'Job Data'!$A$2:$P$220,15, FALSE)</f>
        <v>#N/A</v>
      </c>
      <c r="G110" s="16" t="str">
        <f t="shared" si="1"/>
        <v xml:space="preserve"> </v>
      </c>
      <c r="H110" s="1"/>
    </row>
    <row r="111" spans="3:8" ht="32.5" customHeight="1">
      <c r="C111" s="7" t="str">
        <f>IFERROR(VLOOKUP($A111, 'Job Data'!$A$2:$P$220,2, FALSE), " ")</f>
        <v xml:space="preserve"> </v>
      </c>
      <c r="D111" s="7" t="str">
        <f>IFERROR(VLOOKUP($A111,'Job Data'!$A$2:$P$220,3,FALSE)," ")</f>
        <v xml:space="preserve"> </v>
      </c>
      <c r="E111" s="7" t="str">
        <f>IFERROR(VLOOKUP($A111,'Job Data'!$A$2:$P$220,14,FALSE)," ")</f>
        <v xml:space="preserve"> </v>
      </c>
      <c r="F111" s="1" t="e">
        <f>VLOOKUP($A111, 'Job Data'!$A$2:$P$220,15, FALSE)</f>
        <v>#N/A</v>
      </c>
      <c r="G111" s="16" t="str">
        <f t="shared" si="1"/>
        <v xml:space="preserve"> </v>
      </c>
      <c r="H111" s="1"/>
    </row>
    <row r="112" spans="3:8" ht="32.5" customHeight="1">
      <c r="C112" s="7" t="str">
        <f>IFERROR(VLOOKUP($A112, 'Job Data'!$A$2:$P$220,2, FALSE), " ")</f>
        <v xml:space="preserve"> </v>
      </c>
      <c r="D112" s="7" t="str">
        <f>IFERROR(VLOOKUP($A112,'Job Data'!$A$2:$P$220,3,FALSE)," ")</f>
        <v xml:space="preserve"> </v>
      </c>
      <c r="E112" s="7" t="str">
        <f>IFERROR(VLOOKUP($A112,'Job Data'!$A$2:$P$220,14,FALSE)," ")</f>
        <v xml:space="preserve"> </v>
      </c>
      <c r="F112" s="1" t="e">
        <f>VLOOKUP($A112, 'Job Data'!$A$2:$P$220,15, FALSE)</f>
        <v>#N/A</v>
      </c>
      <c r="G112" s="16" t="str">
        <f t="shared" si="1"/>
        <v xml:space="preserve"> </v>
      </c>
      <c r="H112" s="1"/>
    </row>
    <row r="113" spans="3:8" ht="32.5" customHeight="1">
      <c r="C113" s="7" t="str">
        <f>IFERROR(VLOOKUP($A113, 'Job Data'!$A$2:$P$220,2, FALSE), " ")</f>
        <v xml:space="preserve"> </v>
      </c>
      <c r="D113" s="7" t="str">
        <f>IFERROR(VLOOKUP($A113,'Job Data'!$A$2:$P$220,3,FALSE)," ")</f>
        <v xml:space="preserve"> </v>
      </c>
      <c r="E113" s="7" t="str">
        <f>IFERROR(VLOOKUP($A113,'Job Data'!$A$2:$P$220,14,FALSE)," ")</f>
        <v xml:space="preserve"> </v>
      </c>
      <c r="F113" s="1" t="e">
        <f>VLOOKUP($A113, 'Job Data'!$A$2:$P$220,15, FALSE)</f>
        <v>#N/A</v>
      </c>
      <c r="G113" s="16" t="str">
        <f t="shared" si="1"/>
        <v xml:space="preserve"> </v>
      </c>
      <c r="H113" s="1"/>
    </row>
    <row r="114" spans="3:8" ht="32.5" customHeight="1">
      <c r="C114" s="7" t="str">
        <f>IFERROR(VLOOKUP($A114, 'Job Data'!$A$2:$P$220,2, FALSE), " ")</f>
        <v xml:space="preserve"> </v>
      </c>
      <c r="D114" s="7" t="str">
        <f>IFERROR(VLOOKUP($A114,'Job Data'!$A$2:$P$220,3,FALSE)," ")</f>
        <v xml:space="preserve"> </v>
      </c>
      <c r="E114" s="7" t="str">
        <f>IFERROR(VLOOKUP($A114,'Job Data'!$A$2:$P$220,14,FALSE)," ")</f>
        <v xml:space="preserve"> </v>
      </c>
      <c r="F114" s="1" t="e">
        <f>VLOOKUP($A114, 'Job Data'!$A$2:$P$220,15, FALSE)</f>
        <v>#N/A</v>
      </c>
      <c r="G114" s="16" t="str">
        <f t="shared" si="1"/>
        <v xml:space="preserve"> </v>
      </c>
      <c r="H114" s="1"/>
    </row>
    <row r="115" spans="3:8" ht="32.5" customHeight="1">
      <c r="C115" s="7" t="str">
        <f>IFERROR(VLOOKUP($A115, 'Job Data'!$A$2:$P$220,2, FALSE), " ")</f>
        <v xml:space="preserve"> </v>
      </c>
      <c r="D115" s="7" t="str">
        <f>IFERROR(VLOOKUP($A115,'Job Data'!$A$2:$P$220,3,FALSE)," ")</f>
        <v xml:space="preserve"> </v>
      </c>
      <c r="E115" s="7" t="str">
        <f>IFERROR(VLOOKUP($A115,'Job Data'!$A$2:$P$220,14,FALSE)," ")</f>
        <v xml:space="preserve"> </v>
      </c>
      <c r="F115" s="1" t="e">
        <f>VLOOKUP($A115, 'Job Data'!$A$2:$P$220,15, FALSE)</f>
        <v>#N/A</v>
      </c>
      <c r="G115" s="16" t="str">
        <f t="shared" si="1"/>
        <v xml:space="preserve"> </v>
      </c>
      <c r="H115" s="1"/>
    </row>
    <row r="116" spans="3:8" ht="32.5" customHeight="1">
      <c r="C116" s="7" t="str">
        <f>IFERROR(VLOOKUP($A116, 'Job Data'!$A$2:$P$220,2, FALSE), " ")</f>
        <v xml:space="preserve"> </v>
      </c>
      <c r="D116" s="7" t="str">
        <f>IFERROR(VLOOKUP($A116,'Job Data'!$A$2:$P$220,3,FALSE)," ")</f>
        <v xml:space="preserve"> </v>
      </c>
      <c r="E116" s="7" t="str">
        <f>IFERROR(VLOOKUP($A116,'Job Data'!$A$2:$P$220,14,FALSE)," ")</f>
        <v xml:space="preserve"> </v>
      </c>
      <c r="F116" s="1" t="e">
        <f>VLOOKUP($A116, 'Job Data'!$A$2:$P$220,15, FALSE)</f>
        <v>#N/A</v>
      </c>
      <c r="G116" s="16" t="str">
        <f t="shared" si="1"/>
        <v xml:space="preserve"> </v>
      </c>
      <c r="H116" s="1"/>
    </row>
    <row r="117" spans="3:8" ht="32.5" customHeight="1">
      <c r="C117" s="7" t="str">
        <f>IFERROR(VLOOKUP($A117, 'Job Data'!$A$2:$P$220,2, FALSE), " ")</f>
        <v xml:space="preserve"> </v>
      </c>
      <c r="D117" s="7" t="str">
        <f>IFERROR(VLOOKUP($A117,'Job Data'!$A$2:$P$220,3,FALSE)," ")</f>
        <v xml:space="preserve"> </v>
      </c>
      <c r="E117" s="7" t="str">
        <f>IFERROR(VLOOKUP($A117,'Job Data'!$A$2:$P$220,14,FALSE)," ")</f>
        <v xml:space="preserve"> </v>
      </c>
      <c r="F117" s="1" t="e">
        <f>VLOOKUP($A117, 'Job Data'!$A$2:$P$220,15, FALSE)</f>
        <v>#N/A</v>
      </c>
      <c r="G117" s="16" t="str">
        <f t="shared" si="1"/>
        <v xml:space="preserve"> </v>
      </c>
      <c r="H117" s="1"/>
    </row>
    <row r="118" spans="3:8" ht="32.5" customHeight="1">
      <c r="C118" s="7" t="str">
        <f>IFERROR(VLOOKUP($A118, 'Job Data'!$A$2:$P$220,2, FALSE), " ")</f>
        <v xml:space="preserve"> </v>
      </c>
      <c r="D118" s="7" t="str">
        <f>IFERROR(VLOOKUP($A118,'Job Data'!$A$2:$P$220,3,FALSE)," ")</f>
        <v xml:space="preserve"> </v>
      </c>
      <c r="E118" s="7" t="str">
        <f>IFERROR(VLOOKUP($A118,'Job Data'!$A$2:$P$220,14,FALSE)," ")</f>
        <v xml:space="preserve"> </v>
      </c>
      <c r="F118" s="1" t="e">
        <f>VLOOKUP($A118, 'Job Data'!$A$2:$P$220,15, FALSE)</f>
        <v>#N/A</v>
      </c>
      <c r="G118" s="16" t="str">
        <f t="shared" si="1"/>
        <v xml:space="preserve"> </v>
      </c>
      <c r="H118" s="1"/>
    </row>
    <row r="119" spans="3:8" ht="32.5" customHeight="1">
      <c r="C119" s="7" t="str">
        <f>IFERROR(VLOOKUP($A119, 'Job Data'!$A$2:$P$220,2, FALSE), " ")</f>
        <v xml:space="preserve"> </v>
      </c>
      <c r="D119" s="7" t="str">
        <f>IFERROR(VLOOKUP($A119,'Job Data'!$A$2:$P$220,3,FALSE)," ")</f>
        <v xml:space="preserve"> </v>
      </c>
      <c r="E119" s="7" t="str">
        <f>IFERROR(VLOOKUP($A119,'Job Data'!$A$2:$P$220,14,FALSE)," ")</f>
        <v xml:space="preserve"> </v>
      </c>
      <c r="F119" s="1" t="e">
        <f>VLOOKUP($A119, 'Job Data'!$A$2:$P$220,15, FALSE)</f>
        <v>#N/A</v>
      </c>
      <c r="G119" s="16" t="str">
        <f t="shared" si="1"/>
        <v xml:space="preserve"> </v>
      </c>
      <c r="H119" s="1"/>
    </row>
    <row r="120" spans="3:8" ht="32.5" customHeight="1">
      <c r="C120" s="7" t="str">
        <f>IFERROR(VLOOKUP($A120, 'Job Data'!$A$2:$P$220,2, FALSE), " ")</f>
        <v xml:space="preserve"> </v>
      </c>
      <c r="D120" s="7" t="str">
        <f>IFERROR(VLOOKUP($A120,'Job Data'!$A$2:$P$220,3,FALSE)," ")</f>
        <v xml:space="preserve"> </v>
      </c>
      <c r="E120" s="7" t="str">
        <f>IFERROR(VLOOKUP($A120,'Job Data'!$A$2:$P$220,14,FALSE)," ")</f>
        <v xml:space="preserve"> </v>
      </c>
      <c r="F120" s="1" t="e">
        <f>VLOOKUP($A120, 'Job Data'!$A$2:$P$220,15, FALSE)</f>
        <v>#N/A</v>
      </c>
      <c r="G120" s="16" t="str">
        <f t="shared" si="1"/>
        <v xml:space="preserve"> </v>
      </c>
      <c r="H120" s="1"/>
    </row>
    <row r="121" spans="3:8" ht="32.5" customHeight="1">
      <c r="C121" s="7" t="str">
        <f>IFERROR(VLOOKUP($A121, 'Job Data'!$A$2:$P$220,2, FALSE), " ")</f>
        <v xml:space="preserve"> </v>
      </c>
      <c r="D121" s="7" t="str">
        <f>IFERROR(VLOOKUP($A121,'Job Data'!$A$2:$P$220,3,FALSE)," ")</f>
        <v xml:space="preserve"> </v>
      </c>
      <c r="E121" s="7" t="str">
        <f>IFERROR(VLOOKUP($A121,'Job Data'!$A$2:$P$220,14,FALSE)," ")</f>
        <v xml:space="preserve"> </v>
      </c>
      <c r="F121" s="1" t="e">
        <f>VLOOKUP($A121, 'Job Data'!$A$2:$P$220,15, FALSE)</f>
        <v>#N/A</v>
      </c>
      <c r="G121" s="16" t="str">
        <f t="shared" si="1"/>
        <v xml:space="preserve"> </v>
      </c>
      <c r="H121" s="1"/>
    </row>
    <row r="122" spans="3:8" ht="32.5" customHeight="1">
      <c r="C122" s="7" t="str">
        <f>IFERROR(VLOOKUP($A122, 'Job Data'!$A$2:$P$220,2, FALSE), " ")</f>
        <v xml:space="preserve"> </v>
      </c>
      <c r="D122" s="7" t="str">
        <f>IFERROR(VLOOKUP($A122,'Job Data'!$A$2:$P$220,3,FALSE)," ")</f>
        <v xml:space="preserve"> </v>
      </c>
      <c r="E122" s="7" t="str">
        <f>IFERROR(VLOOKUP($A122,'Job Data'!$A$2:$P$220,14,FALSE)," ")</f>
        <v xml:space="preserve"> </v>
      </c>
      <c r="F122" s="1" t="e">
        <f>VLOOKUP($A122, 'Job Data'!$A$2:$P$220,15, FALSE)</f>
        <v>#N/A</v>
      </c>
      <c r="G122" s="16" t="str">
        <f t="shared" si="1"/>
        <v xml:space="preserve"> </v>
      </c>
      <c r="H122" s="1"/>
    </row>
    <row r="123" spans="3:8" ht="32.5" customHeight="1">
      <c r="C123" s="7" t="str">
        <f>IFERROR(VLOOKUP($A123, 'Job Data'!$A$2:$P$220,2, FALSE), " ")</f>
        <v xml:space="preserve"> </v>
      </c>
      <c r="D123" s="7" t="str">
        <f>IFERROR(VLOOKUP($A123,'Job Data'!$A$2:$P$220,3,FALSE)," ")</f>
        <v xml:space="preserve"> </v>
      </c>
      <c r="E123" s="7" t="str">
        <f>IFERROR(VLOOKUP($A123,'Job Data'!$A$2:$P$220,14,FALSE)," ")</f>
        <v xml:space="preserve"> </v>
      </c>
      <c r="F123" s="1" t="e">
        <f>VLOOKUP($A123, 'Job Data'!$A$2:$P$220,15, FALSE)</f>
        <v>#N/A</v>
      </c>
      <c r="G123" s="16" t="str">
        <f t="shared" si="1"/>
        <v xml:space="preserve"> </v>
      </c>
      <c r="H123" s="1"/>
    </row>
    <row r="124" spans="3:8" ht="32.5" customHeight="1">
      <c r="C124" s="7" t="str">
        <f>IFERROR(VLOOKUP($A124, 'Job Data'!$A$2:$P$220,2, FALSE), " ")</f>
        <v xml:space="preserve"> </v>
      </c>
      <c r="D124" s="7" t="str">
        <f>IFERROR(VLOOKUP($A124,'Job Data'!$A$2:$P$220,3,FALSE)," ")</f>
        <v xml:space="preserve"> </v>
      </c>
      <c r="E124" s="7" t="str">
        <f>IFERROR(VLOOKUP($A124,'Job Data'!$A$2:$P$220,14,FALSE)," ")</f>
        <v xml:space="preserve"> </v>
      </c>
      <c r="F124" s="1" t="e">
        <f>VLOOKUP($A124, 'Job Data'!$A$2:$P$220,15, FALSE)</f>
        <v>#N/A</v>
      </c>
      <c r="G124" s="16" t="str">
        <f t="shared" si="1"/>
        <v xml:space="preserve"> </v>
      </c>
      <c r="H124" s="1"/>
    </row>
    <row r="125" spans="3:8" ht="32.5" customHeight="1">
      <c r="C125" s="1"/>
      <c r="D125" s="1"/>
      <c r="E125" s="1"/>
      <c r="F125" s="1"/>
      <c r="G125" s="12"/>
      <c r="H125" s="1"/>
    </row>
    <row r="126" spans="3:8">
      <c r="C126" s="1"/>
      <c r="D126" s="1"/>
      <c r="E126" s="1"/>
      <c r="F126" s="1"/>
      <c r="G126" s="12"/>
      <c r="H126" s="1"/>
    </row>
    <row r="127" spans="3:8">
      <c r="C127" s="1"/>
      <c r="D127" s="1"/>
      <c r="E127" s="1"/>
      <c r="F127" s="1"/>
      <c r="G127" s="12"/>
      <c r="H127" s="1"/>
    </row>
    <row r="128" spans="3:8">
      <c r="C128" s="1"/>
      <c r="D128" s="1"/>
      <c r="E128" s="1"/>
      <c r="F128" s="1"/>
      <c r="G128" s="12"/>
      <c r="H128" s="1"/>
    </row>
    <row r="129" spans="1:8">
      <c r="C129" s="1"/>
      <c r="D129" s="1"/>
      <c r="E129" s="1"/>
      <c r="F129" s="1"/>
      <c r="G129" s="12"/>
      <c r="H129" s="1"/>
    </row>
    <row r="130" spans="1:8">
      <c r="C130" s="1"/>
      <c r="D130" s="1"/>
      <c r="E130" s="1"/>
      <c r="F130" s="1"/>
      <c r="G130" s="1"/>
      <c r="H130" s="1"/>
    </row>
    <row r="131" spans="1:8">
      <c r="A131" s="1"/>
      <c r="B131" s="1"/>
      <c r="C131" s="1"/>
      <c r="D131" s="1"/>
      <c r="E131" s="1"/>
      <c r="F131" s="1"/>
      <c r="G131" s="1"/>
      <c r="H131" s="1"/>
    </row>
    <row r="132" spans="1:8">
      <c r="A132" s="1"/>
      <c r="B132" s="1"/>
      <c r="C132" s="1"/>
      <c r="D132" s="1"/>
      <c r="E132" s="1"/>
      <c r="F132" s="1"/>
      <c r="G132" s="1"/>
      <c r="H132" s="1"/>
    </row>
    <row r="133" spans="1:8">
      <c r="A133" s="1"/>
      <c r="B133" s="1"/>
      <c r="C133" s="1"/>
      <c r="D133" s="1"/>
      <c r="E133" s="1"/>
      <c r="F133" s="1"/>
      <c r="G133" s="1"/>
      <c r="H133" s="1"/>
    </row>
  </sheetData>
  <phoneticPr fontId="10" type="noConversion"/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11CE-E2FD-4FBD-A315-208380CD3275}">
  <sheetPr codeName="Sheet8"/>
  <dimension ref="A1:H189"/>
  <sheetViews>
    <sheetView topLeftCell="D1" zoomScale="80" zoomScaleNormal="80" workbookViewId="0">
      <selection activeCell="G8" sqref="G8"/>
    </sheetView>
  </sheetViews>
  <sheetFormatPr defaultRowHeight="14.5"/>
  <cols>
    <col min="1" max="1" width="21.1796875" bestFit="1" customWidth="1"/>
    <col min="2" max="2" width="20.453125" bestFit="1" customWidth="1"/>
    <col min="3" max="3" width="26.453125" customWidth="1"/>
    <col min="4" max="4" width="37.453125" customWidth="1"/>
    <col min="5" max="5" width="50.453125" customWidth="1"/>
    <col min="6" max="6" width="37.1796875" hidden="1" customWidth="1"/>
    <col min="7" max="7" width="83" customWidth="1"/>
    <col min="8" max="8" width="19.453125" bestFit="1" customWidth="1"/>
    <col min="9" max="9" width="18.453125" bestFit="1" customWidth="1"/>
    <col min="10" max="10" width="37.1796875" bestFit="1" customWidth="1"/>
    <col min="11" max="11" width="13.453125" bestFit="1" customWidth="1"/>
    <col min="12" max="12" width="21" bestFit="1" customWidth="1"/>
    <col min="13" max="13" width="20.1796875" bestFit="1" customWidth="1"/>
    <col min="14" max="14" width="12" bestFit="1" customWidth="1"/>
    <col min="15" max="15" width="21.1796875" bestFit="1" customWidth="1"/>
    <col min="16" max="16" width="7.81640625" bestFit="1" customWidth="1"/>
    <col min="17" max="17" width="11.453125" bestFit="1" customWidth="1"/>
    <col min="18" max="18" width="29.453125" bestFit="1" customWidth="1"/>
    <col min="19" max="19" width="27.81640625" bestFit="1" customWidth="1"/>
    <col min="20" max="20" width="31.453125" bestFit="1" customWidth="1"/>
    <col min="21" max="21" width="14.453125" bestFit="1" customWidth="1"/>
    <col min="22" max="22" width="21.1796875" bestFit="1" customWidth="1"/>
    <col min="23" max="23" width="14.453125" bestFit="1" customWidth="1"/>
    <col min="24" max="24" width="10.453125" bestFit="1" customWidth="1"/>
    <col min="25" max="25" width="9.453125" bestFit="1" customWidth="1"/>
    <col min="26" max="26" width="7.1796875" bestFit="1" customWidth="1"/>
    <col min="27" max="27" width="6.453125" bestFit="1" customWidth="1"/>
    <col min="28" max="28" width="4.1796875" bestFit="1" customWidth="1"/>
    <col min="29" max="29" width="11.453125" bestFit="1" customWidth="1"/>
    <col min="30" max="30" width="17.453125" bestFit="1" customWidth="1"/>
    <col min="31" max="31" width="5" bestFit="1" customWidth="1"/>
    <col min="32" max="32" width="7.1796875" bestFit="1" customWidth="1"/>
    <col min="33" max="33" width="8.1796875" bestFit="1" customWidth="1"/>
    <col min="34" max="35" width="9.453125" bestFit="1" customWidth="1"/>
    <col min="36" max="36" width="7.1796875" bestFit="1" customWidth="1"/>
    <col min="37" max="37" width="6.453125" bestFit="1" customWidth="1"/>
    <col min="38" max="38" width="4.1796875" bestFit="1" customWidth="1"/>
    <col min="39" max="39" width="11.453125" bestFit="1" customWidth="1"/>
    <col min="40" max="40" width="15.81640625" bestFit="1" customWidth="1"/>
    <col min="41" max="41" width="5" bestFit="1" customWidth="1"/>
    <col min="42" max="42" width="7.1796875" bestFit="1" customWidth="1"/>
    <col min="43" max="43" width="8.1796875" bestFit="1" customWidth="1"/>
    <col min="44" max="45" width="9.453125" bestFit="1" customWidth="1"/>
    <col min="46" max="46" width="7.1796875" bestFit="1" customWidth="1"/>
    <col min="47" max="47" width="6.453125" bestFit="1" customWidth="1"/>
    <col min="48" max="48" width="4.1796875" bestFit="1" customWidth="1"/>
    <col min="49" max="49" width="11.453125" bestFit="1" customWidth="1"/>
    <col min="50" max="50" width="15.81640625" bestFit="1" customWidth="1"/>
    <col min="51" max="51" width="5" bestFit="1" customWidth="1"/>
    <col min="52" max="52" width="7.1796875" bestFit="1" customWidth="1"/>
    <col min="53" max="53" width="8.1796875" bestFit="1" customWidth="1"/>
    <col min="54" max="55" width="9.453125" bestFit="1" customWidth="1"/>
    <col min="56" max="56" width="7.1796875" bestFit="1" customWidth="1"/>
    <col min="57" max="57" width="6.453125" bestFit="1" customWidth="1"/>
    <col min="58" max="58" width="4.1796875" bestFit="1" customWidth="1"/>
    <col min="59" max="59" width="11.453125" bestFit="1" customWidth="1"/>
    <col min="60" max="60" width="40.81640625" bestFit="1" customWidth="1"/>
    <col min="61" max="61" width="43.453125" bestFit="1" customWidth="1"/>
    <col min="62" max="62" width="18.453125" bestFit="1" customWidth="1"/>
    <col min="63" max="63" width="22.1796875" bestFit="1" customWidth="1"/>
    <col min="64" max="64" width="19.453125" bestFit="1" customWidth="1"/>
    <col min="65" max="65" width="20.453125" bestFit="1" customWidth="1"/>
    <col min="66" max="124" width="38.81640625" bestFit="1" customWidth="1"/>
    <col min="125" max="125" width="40.81640625" bestFit="1" customWidth="1"/>
    <col min="126" max="126" width="43.453125" bestFit="1" customWidth="1"/>
    <col min="127" max="127" width="18.453125" bestFit="1" customWidth="1"/>
    <col min="128" max="128" width="22.1796875" bestFit="1" customWidth="1"/>
    <col min="129" max="129" width="19.453125" bestFit="1" customWidth="1"/>
    <col min="130" max="130" width="20.453125" bestFit="1" customWidth="1"/>
    <col min="131" max="256" width="38.81640625" bestFit="1" customWidth="1"/>
    <col min="257" max="257" width="40.81640625" bestFit="1" customWidth="1"/>
    <col min="258" max="258" width="43.453125" bestFit="1" customWidth="1"/>
    <col min="259" max="259" width="18.453125" bestFit="1" customWidth="1"/>
    <col min="260" max="260" width="22.1796875" bestFit="1" customWidth="1"/>
    <col min="261" max="261" width="19.453125" bestFit="1" customWidth="1"/>
    <col min="262" max="263" width="20.453125" bestFit="1" customWidth="1"/>
  </cols>
  <sheetData>
    <row r="1" spans="1:8" ht="30" customHeight="1">
      <c r="A1" s="23" t="s">
        <v>8</v>
      </c>
      <c r="B1" s="22" t="s">
        <v>775</v>
      </c>
    </row>
    <row r="2" spans="1:8" ht="30" customHeight="1">
      <c r="A2" s="23" t="s">
        <v>5</v>
      </c>
      <c r="B2" s="22" t="s">
        <v>41</v>
      </c>
    </row>
    <row r="3" spans="1:8" ht="30" customHeight="1">
      <c r="A3" s="23" t="s">
        <v>2</v>
      </c>
      <c r="B3" s="22" t="s">
        <v>775</v>
      </c>
    </row>
    <row r="4" spans="1:8" ht="30" customHeight="1">
      <c r="A4" s="23" t="s">
        <v>3</v>
      </c>
      <c r="B4" s="22" t="s">
        <v>775</v>
      </c>
    </row>
    <row r="6" spans="1:8" ht="30.65" customHeight="1">
      <c r="A6" s="20" t="s">
        <v>194</v>
      </c>
      <c r="B6" s="21" t="s">
        <v>195</v>
      </c>
      <c r="C6" s="17" t="s">
        <v>2</v>
      </c>
      <c r="D6" s="17" t="s">
        <v>3</v>
      </c>
      <c r="E6" s="17" t="s">
        <v>14</v>
      </c>
      <c r="G6" s="15"/>
    </row>
    <row r="7" spans="1:8" ht="24.65" customHeight="1">
      <c r="A7" s="24" t="s">
        <v>202</v>
      </c>
      <c r="B7" s="24">
        <v>1</v>
      </c>
      <c r="C7" s="7" t="str">
        <f>VLOOKUP($A7, 'Job Data'!$A$2:$P$220,2, FALSE)</f>
        <v>Grange</v>
      </c>
      <c r="D7" s="7" t="str">
        <f>VLOOKUP($A7, 'Job Data'!$A$2:$P$220,3, FALSE)</f>
        <v>Savage River</v>
      </c>
      <c r="E7" s="7" t="str">
        <f>VLOOKUP($A7, 'Job Data'!$A$2:$P$220,14, FALSE)</f>
        <v>AQ0001 LJC testline</v>
      </c>
      <c r="F7" s="1" t="str">
        <f>VLOOKUP($A7, 'Job Data'!$A$2:$P$220,15, FALSE)</f>
        <v>C:\Users\wubia\OneDrive - Longi Magnet Australia Pty ltd\Documents - Longi Australia\03 Project Management\Client\Grange\Savage River\AQ0001 LJC testline</v>
      </c>
      <c r="G7" s="16" t="str">
        <f>HYPERLINK(SUBSTITUTE(SUBSTITUTE(F7, "C:\Users\wubia\OneDrive - Longi Magnet Australia Pty ltd\Documents - Longi Australia", "C:\Users\lzx15\Longi Magnet Australia Pty ltd\Longi Australia - Documents"), "\\", "\\"),"Open Project Folder")</f>
        <v>Open Project Folder</v>
      </c>
      <c r="H7" s="1"/>
    </row>
    <row r="8" spans="1:8" ht="24.65" customHeight="1">
      <c r="A8" s="18" t="s">
        <v>218</v>
      </c>
      <c r="B8" s="18">
        <v>1</v>
      </c>
      <c r="C8" s="7" t="str">
        <f>VLOOKUP($A8, 'Job Data'!$A$2:$P$220,2, FALSE)</f>
        <v>Globel_Lithium</v>
      </c>
      <c r="D8" s="7" t="str">
        <f>VLOOKUP($A8, 'Job Data'!$A$2:$P$220,3, FALSE)</f>
        <v>Manna Lithium</v>
      </c>
      <c r="E8" s="7" t="str">
        <f>VLOOKUP($A8, 'Job Data'!$A$2:$P$220,14, FALSE)</f>
        <v>AQ0002 Manna lithium DFS</v>
      </c>
      <c r="F8" s="1" t="str">
        <f>VLOOKUP($A8, 'Job Data'!$A$2:$P$220,15, FALSE)</f>
        <v>C:\Users\wubia\OneDrive - Longi Magnet Australia Pty ltd\Documents - Longi Australia\03 Project Management\Client\Globel_Lithium\Manna Lithium\AQ0002 Manna lithium DFS</v>
      </c>
      <c r="G8" s="16" t="str">
        <f t="shared" ref="G8:G71" si="0">HYPERLINK(SUBSTITUTE(SUBSTITUTE(F8, "C:\Users\wubia\OneDrive - Longi Magnet Australia Pty ltd\Documents - Longi Australia", "C:\Users\lzx15\Longi Magnet Australia Pty ltd\Longi Australia - Documents"), "\\", "\\"),"Open Project Folder")</f>
        <v>Open Project Folder</v>
      </c>
      <c r="H8" s="1"/>
    </row>
    <row r="9" spans="1:8" ht="24.65" customHeight="1">
      <c r="A9" s="24" t="s">
        <v>203</v>
      </c>
      <c r="B9" s="24">
        <v>1</v>
      </c>
      <c r="C9" s="7" t="str">
        <f>VLOOKUP($A9, 'Job Data'!$A$2:$P$220,2, FALSE)</f>
        <v>KUREEM</v>
      </c>
      <c r="D9" s="7" t="str">
        <f>VLOOKUP($A9, 'Job Data'!$A$2:$P$220,3, FALSE)</f>
        <v>KUREEM</v>
      </c>
      <c r="E9" s="7" t="str">
        <f>VLOOKUP($A9, 'Job Data'!$A$2:$P$220,14, FALSE)</f>
        <v>AQ0003 KUREEM Project Pilot Plant</v>
      </c>
      <c r="F9" s="1" t="str">
        <f>VLOOKUP($A9, 'Job Data'!$A$2:$P$220,15, FALSE)</f>
        <v>C:\Users\wubia\OneDrive - Longi Magnet Australia Pty ltd\Documents - Longi Australia\03 Project Management\Client\KUREEM\KUREEM\AQ0003 KUREEM Project Pilot Plant</v>
      </c>
      <c r="G9" s="16" t="str">
        <f t="shared" si="0"/>
        <v>Open Project Folder</v>
      </c>
      <c r="H9" s="1"/>
    </row>
    <row r="10" spans="1:8" ht="24.65" customHeight="1">
      <c r="A10" s="24" t="s">
        <v>204</v>
      </c>
      <c r="B10" s="24">
        <v>1</v>
      </c>
      <c r="C10" s="7" t="str">
        <f>VLOOKUP($A10, 'Job Data'!$A$2:$P$220,2, FALSE)</f>
        <v>KUREEM</v>
      </c>
      <c r="D10" s="7" t="str">
        <f>VLOOKUP($A10, 'Job Data'!$A$2:$P$220,3, FALSE)</f>
        <v>KUREEM</v>
      </c>
      <c r="E10" s="7" t="str">
        <f>VLOOKUP($A10, 'Job Data'!$A$2:$P$220,14, FALSE)</f>
        <v>AQ0004 KUREEM Project FS</v>
      </c>
      <c r="F10" s="1" t="str">
        <f>VLOOKUP($A10, 'Job Data'!$A$2:$P$220,15, FALSE)</f>
        <v>C:\Users\wubia\OneDrive - Longi Magnet Australia Pty ltd\Documents - Longi Australia\03 Project Management\Client\KUREEM\KUREEM\AQ0004 KUREEM Project FS</v>
      </c>
      <c r="G10" s="16" t="str">
        <f t="shared" si="0"/>
        <v>Open Project Folder</v>
      </c>
      <c r="H10" s="1"/>
    </row>
    <row r="11" spans="1:8" ht="24.65" customHeight="1">
      <c r="A11" s="24" t="s">
        <v>205</v>
      </c>
      <c r="B11" s="24">
        <v>1</v>
      </c>
      <c r="C11" s="7" t="str">
        <f>VLOOKUP($A11, 'Job Data'!$A$2:$P$220,2, FALSE)</f>
        <v>FMG</v>
      </c>
      <c r="D11" s="7" t="str">
        <f>VLOOKUP($A11, 'Job Data'!$A$2:$P$220,3, FALSE)</f>
        <v>Iron Bridge</v>
      </c>
      <c r="E11" s="7" t="str">
        <f>VLOOKUP($A11, 'Job Data'!$A$2:$P$220,14, FALSE)</f>
        <v>AQ0005 IB Spray bar</v>
      </c>
      <c r="F11" s="1" t="str">
        <f>VLOOKUP($A11, 'Job Data'!$A$2:$P$220,15, FALSE)</f>
        <v>C:\Users\wubia\OneDrive - Longi Magnet Australia Pty ltd\Documents - Longi Australia\03 Project Management\Client\FMG\Iron Bridge\AQ0005 IB Spray bar</v>
      </c>
      <c r="G11" s="16" t="str">
        <f t="shared" si="0"/>
        <v>Open Project Folder</v>
      </c>
      <c r="H11" s="1"/>
    </row>
    <row r="12" spans="1:8" ht="24.65" customHeight="1">
      <c r="A12" s="18" t="s">
        <v>219</v>
      </c>
      <c r="B12" s="18">
        <v>1</v>
      </c>
      <c r="C12" s="7" t="str">
        <f>VLOOKUP($A12, 'Job Data'!$A$2:$P$220,2, FALSE)</f>
        <v>MRL</v>
      </c>
      <c r="D12" s="7" t="str">
        <f>VLOOKUP($A12, 'Job Data'!$A$2:$P$220,3, FALSE)</f>
        <v>Wodgina</v>
      </c>
      <c r="E12" s="7" t="str">
        <f>VLOOKUP($A12, 'Job Data'!$A$2:$P$220,14, FALSE)</f>
        <v>AQ0006 Wodina Train 4</v>
      </c>
      <c r="F12" s="1" t="str">
        <f>VLOOKUP($A12, 'Job Data'!$A$2:$P$220,15, FALSE)</f>
        <v>C:\Users\wubia\OneDrive - Longi Magnet Australia Pty ltd\Documents - Longi Australia\03 Project Management\Client\MRL\Wodgina\AQ0006 Wodina Train 4</v>
      </c>
      <c r="G12" s="16" t="str">
        <f t="shared" si="0"/>
        <v>Open Project Folder</v>
      </c>
      <c r="H12" s="1"/>
    </row>
    <row r="13" spans="1:8" ht="24.65" customHeight="1">
      <c r="A13" s="7" t="s">
        <v>220</v>
      </c>
      <c r="B13" s="7">
        <v>1</v>
      </c>
      <c r="C13" s="7" t="str">
        <f>VLOOKUP($A13, 'Job Data'!$A$2:$P$220,2, FALSE)</f>
        <v>Talison</v>
      </c>
      <c r="D13" s="7" t="str">
        <f>VLOOKUP($A13, 'Job Data'!$A$2:$P$220,3, FALSE)</f>
        <v>Greenbush</v>
      </c>
      <c r="E13" s="7" t="str">
        <f>VLOOKUP($A13, 'Job Data'!$A$2:$P$220,14, FALSE)</f>
        <v>AQ0007 Talison CPG4</v>
      </c>
      <c r="F13" s="1" t="str">
        <f>VLOOKUP($A13, 'Job Data'!$A$2:$P$220,15, FALSE)</f>
        <v>C:\Users\wubia\OneDrive - Longi Magnet Australia Pty ltd\Documents - Longi Australia\03 Project Management\Client\Talison\Greenbush\AQ0007 Talison CPG4</v>
      </c>
      <c r="G13" s="16" t="str">
        <f t="shared" si="0"/>
        <v>Open Project Folder</v>
      </c>
      <c r="H13" s="1"/>
    </row>
    <row r="14" spans="1:8" ht="24.65" customHeight="1">
      <c r="A14" s="24" t="s">
        <v>206</v>
      </c>
      <c r="B14" s="24">
        <v>1</v>
      </c>
      <c r="C14" s="7" t="str">
        <f>VLOOKUP($A14, 'Job Data'!$A$2:$P$220,2, FALSE)</f>
        <v>SIMEC</v>
      </c>
      <c r="D14" s="7" t="str">
        <f>VLOOKUP($A14, 'Job Data'!$A$2:$P$220,3, FALSE)</f>
        <v>MEP 1</v>
      </c>
      <c r="E14" s="7" t="str">
        <f>VLOOKUP($A14, 'Job Data'!$A$2:$P$220,14, FALSE)</f>
        <v>AQ0008 SIMEC Wet Plant</v>
      </c>
      <c r="F14" s="1" t="str">
        <f>VLOOKUP($A14, 'Job Data'!$A$2:$P$220,15, FALSE)</f>
        <v>C:\Users\wubia\OneDrive - Longi Magnet Australia Pty ltd\Documents - Longi Australia\03 Project Management\Client\SIMEC\MEP 1\AQ0008 SIMEC Wet Plant</v>
      </c>
      <c r="G14" s="16" t="str">
        <f t="shared" si="0"/>
        <v>Open Project Folder</v>
      </c>
      <c r="H14" s="1"/>
    </row>
    <row r="15" spans="1:8" ht="24.65" customHeight="1">
      <c r="A15" s="24" t="s">
        <v>207</v>
      </c>
      <c r="B15" s="24">
        <v>1</v>
      </c>
      <c r="C15" s="7" t="str">
        <f>VLOOKUP($A15, 'Job Data'!$A$2:$P$220,2, FALSE)</f>
        <v>SIMEC</v>
      </c>
      <c r="D15" s="7" t="str">
        <f>VLOOKUP($A15, 'Job Data'!$A$2:$P$220,3, FALSE)</f>
        <v>MEP 1</v>
      </c>
      <c r="E15" s="7" t="str">
        <f>VLOOKUP($A15, 'Job Data'!$A$2:$P$220,14, FALSE)</f>
        <v>AQ0009 SIMEC Dry Plant</v>
      </c>
      <c r="F15" s="1" t="str">
        <f>VLOOKUP($A15, 'Job Data'!$A$2:$P$220,15, FALSE)</f>
        <v>C:\Users\wubia\OneDrive - Longi Magnet Australia Pty ltd\Documents - Longi Australia\03 Project Management\Client\SIMEC\MEP 1\AQ0009 SIMEC Dry Plant</v>
      </c>
      <c r="G15" s="16" t="str">
        <f t="shared" si="0"/>
        <v>Open Project Folder</v>
      </c>
      <c r="H15" s="1"/>
    </row>
    <row r="16" spans="1:8" ht="24.65" customHeight="1">
      <c r="A16" s="18" t="s">
        <v>221</v>
      </c>
      <c r="B16" s="18">
        <v>1</v>
      </c>
      <c r="C16" s="7" t="str">
        <f>VLOOKUP($A16, 'Job Data'!$A$2:$P$220,2, FALSE)</f>
        <v>HanRoy</v>
      </c>
      <c r="D16" s="7" t="str">
        <f>VLOOKUP($A16, 'Job Data'!$A$2:$P$220,3, FALSE)</f>
        <v>Ridley</v>
      </c>
      <c r="E16" s="7" t="str">
        <f>VLOOKUP($A16, 'Job Data'!$A$2:$P$220,14, FALSE)</f>
        <v>AQ0010 Ridley LIMS</v>
      </c>
      <c r="F16" s="1" t="str">
        <f>VLOOKUP($A16, 'Job Data'!$A$2:$P$220,15, FALSE)</f>
        <v>C:\Users\wubia\OneDrive - Longi Magnet Australia Pty ltd\Documents - Longi Australia\03 Project Management\Client\HanRoy\Ridley\AQ0010 Ridley LIMS</v>
      </c>
      <c r="G16" s="16" t="str">
        <f t="shared" si="0"/>
        <v>Open Project Folder</v>
      </c>
      <c r="H16" s="1"/>
    </row>
    <row r="17" spans="1:8" ht="24.65" customHeight="1">
      <c r="A17" s="7" t="s">
        <v>222</v>
      </c>
      <c r="B17" s="7">
        <v>1</v>
      </c>
      <c r="C17" s="7" t="str">
        <f>VLOOKUP($A17, 'Job Data'!$A$2:$P$220,2, FALSE)</f>
        <v>HanRoy</v>
      </c>
      <c r="D17" s="7" t="str">
        <f>VLOOKUP($A17, 'Job Data'!$A$2:$P$220,3, FALSE)</f>
        <v>Mt Beavan</v>
      </c>
      <c r="E17" s="7" t="str">
        <f>VLOOKUP($A17, 'Job Data'!$A$2:$P$220,14, FALSE)</f>
        <v>AQ0011 DMS</v>
      </c>
      <c r="F17" s="1" t="str">
        <f>VLOOKUP($A17, 'Job Data'!$A$2:$P$220,15, FALSE)</f>
        <v>C:\Users\wubia\OneDrive - Longi Magnet Australia Pty ltd\Documents - Longi Australia\03 Project Management\Client\HanRoy\Mt Beavan\AQ0011 DMS</v>
      </c>
      <c r="G17" s="16" t="str">
        <f>HYPERLINK(SUBSTITUTE(SUBSTITUTE(F17, "C:\Users\wubia\OneDrive - Longi Magnet Australia Pty ltd\Documents - Longi Australia", "C:\Users\lzx15\Longi Magnet Australia Pty ltd\Longi Australia - Documents"), "\\", "\\"),"Open Project Folder")</f>
        <v>Open Project Folder</v>
      </c>
      <c r="H17" s="1"/>
    </row>
    <row r="18" spans="1:8" ht="24.65" customHeight="1">
      <c r="A18" s="24" t="s">
        <v>208</v>
      </c>
      <c r="B18" s="24">
        <v>1</v>
      </c>
      <c r="C18" s="7" t="str">
        <f>VLOOKUP($A18, 'Job Data'!$A$2:$P$220,2, FALSE)</f>
        <v>FMG</v>
      </c>
      <c r="D18" s="7" t="str">
        <f>VLOOKUP($A18, 'Job Data'!$A$2:$P$220,3, FALSE)</f>
        <v>Iron Bridge</v>
      </c>
      <c r="E18" s="7" t="str">
        <f>VLOOKUP($A18, 'Job Data'!$A$2:$P$220,14, FALSE)</f>
        <v>AQ0012 dewater drum replacement</v>
      </c>
      <c r="F18" s="1" t="str">
        <f>VLOOKUP($A18, 'Job Data'!$A$2:$P$220,15, FALSE)</f>
        <v>C:\Users\wubia\OneDrive - Longi Magnet Australia Pty ltd\Documents - Longi Australia\03 Project Management\Client\FMG\Iron Bridge\AQ0012 dewater drum replacement</v>
      </c>
      <c r="G18" s="16" t="str">
        <f t="shared" si="0"/>
        <v>Open Project Folder</v>
      </c>
      <c r="H18" s="1"/>
    </row>
    <row r="19" spans="1:8" ht="24.65" customHeight="1">
      <c r="A19" s="24" t="s">
        <v>209</v>
      </c>
      <c r="B19" s="24">
        <v>1</v>
      </c>
      <c r="C19" s="7" t="str">
        <f>VLOOKUP($A19, 'Job Data'!$A$2:$P$220,2, FALSE)</f>
        <v>Grange</v>
      </c>
      <c r="D19" s="7" t="str">
        <f>VLOOKUP($A19, 'Job Data'!$A$2:$P$220,3, FALSE)</f>
        <v>Southdown</v>
      </c>
      <c r="E19" s="7" t="str">
        <f>VLOOKUP($A19, 'Job Data'!$A$2:$P$220,14, FALSE)</f>
        <v>AQ0013 DRY+WET new plant</v>
      </c>
      <c r="F19" s="1" t="str">
        <f>VLOOKUP($A19, 'Job Data'!$A$2:$P$220,15, FALSE)</f>
        <v>C:\Users\wubia\OneDrive - Longi Magnet Australia Pty ltd\Documents - Longi Australia\03 Project Management\Client\Grange\Southdown\AQ0013 DRY+WET new plant</v>
      </c>
      <c r="G19" s="16" t="str">
        <f t="shared" si="0"/>
        <v>Open Project Folder</v>
      </c>
      <c r="H19" s="1"/>
    </row>
    <row r="20" spans="1:8" ht="24.65" customHeight="1">
      <c r="A20" s="24" t="s">
        <v>210</v>
      </c>
      <c r="B20" s="24">
        <v>1</v>
      </c>
      <c r="C20" s="7" t="str">
        <f>VLOOKUP($A20, 'Job Data'!$A$2:$P$220,2, FALSE)</f>
        <v>TBA</v>
      </c>
      <c r="D20" s="7" t="str">
        <f>VLOOKUP($A20, 'Job Data'!$A$2:$P$220,3, FALSE)</f>
        <v>TBA 1</v>
      </c>
      <c r="E20" s="7" t="str">
        <f>VLOOKUP($A20, 'Job Data'!$A$2:$P$220,14, FALSE)</f>
        <v>AQ0014 LIMS+WHIMS</v>
      </c>
      <c r="F20" s="1" t="str">
        <f>VLOOKUP($A20, 'Job Data'!$A$2:$P$220,15, FALSE)</f>
        <v>C:\Users\wubia\OneDrive - Longi Magnet Australia Pty ltd\Documents - Longi Australia\03 Project Management\Client\TBA\TBA 1\AQ0014 LIMS+WHIMS</v>
      </c>
      <c r="G20" s="16" t="str">
        <f>HYPERLINK(SUBSTITUTE(SUBSTITUTE(F20, "C:\Users\wubia\OneDrive - Longi Magnet Australia Pty ltd\Documents - Longi Australia", "C:\Users\lzx15\Longi Magnet Australia Pty ltd\Longi Australia - Documents"), "\\", "\\"),"Open Project Folder")</f>
        <v>Open Project Folder</v>
      </c>
      <c r="H20" s="1"/>
    </row>
    <row r="21" spans="1:8" ht="24.65" customHeight="1">
      <c r="A21" s="18" t="s">
        <v>223</v>
      </c>
      <c r="B21" s="18">
        <v>1</v>
      </c>
      <c r="C21" s="7" t="str">
        <f>VLOOKUP($A21, 'Job Data'!$A$2:$P$220,2, FALSE)</f>
        <v>TMT</v>
      </c>
      <c r="D21" s="7" t="str">
        <f>VLOOKUP($A21, 'Job Data'!$A$2:$P$220,3, FALSE)</f>
        <v>Murchison</v>
      </c>
      <c r="E21" s="7" t="str">
        <f>VLOOKUP($A21, 'Job Data'!$A$2:$P$220,14, FALSE)</f>
        <v>AQ0015 Murchison</v>
      </c>
      <c r="F21" s="1" t="str">
        <f>VLOOKUP($A21, 'Job Data'!$A$2:$P$220,15, FALSE)</f>
        <v>C:\Users\wubia\OneDrive - Longi Magnet Australia Pty ltd\Documents - Longi Australia\03 Project Management\Client\TMT\Murchison\AQ0015 Murchison</v>
      </c>
      <c r="G21" s="16" t="str">
        <f t="shared" si="0"/>
        <v>Open Project Folder</v>
      </c>
      <c r="H21" s="1"/>
    </row>
    <row r="22" spans="1:8" ht="24.65" customHeight="1">
      <c r="A22" s="7" t="s">
        <v>224</v>
      </c>
      <c r="B22" s="7">
        <v>1</v>
      </c>
      <c r="C22" s="7" t="str">
        <f>VLOOKUP($A22, 'Job Data'!$A$2:$P$220,2, FALSE)</f>
        <v>Covalent_Lithium</v>
      </c>
      <c r="D22" s="7" t="str">
        <f>VLOOKUP($A22, 'Job Data'!$A$2:$P$220,3, FALSE)</f>
        <v>Mount Holland</v>
      </c>
      <c r="E22" s="7" t="str">
        <f>VLOOKUP($A22, 'Job Data'!$A$2:$P$220,14, FALSE)</f>
        <v>AQ0016 Mount Holland Lithium Expansion</v>
      </c>
      <c r="F22" s="1" t="str">
        <f>VLOOKUP($A22, 'Job Data'!$A$2:$P$220,15, FALSE)</f>
        <v>C:\Users\wubia\OneDrive - Longi Magnet Australia Pty ltd\Documents - Longi Australia\03 Project Management\Client\Covalent_Lithium\Mount Holland\AQ0016 Mount Holland Lithium Expansion</v>
      </c>
      <c r="G22" s="16" t="str">
        <f t="shared" si="0"/>
        <v>Open Project Folder</v>
      </c>
      <c r="H22" s="1"/>
    </row>
    <row r="23" spans="1:8" ht="24.65" customHeight="1">
      <c r="A23" s="24" t="s">
        <v>702</v>
      </c>
      <c r="B23" s="24">
        <v>1</v>
      </c>
      <c r="C23" s="7" t="str">
        <f>VLOOKUP($A23, 'Job Data'!$A$2:$P$220,2, FALSE)</f>
        <v>Karara_Mining</v>
      </c>
      <c r="D23" s="7" t="str">
        <f>VLOOKUP($A23, 'Job Data'!$A$2:$P$220,3, FALSE)</f>
        <v>Karara</v>
      </c>
      <c r="E23" s="7" t="str">
        <f>VLOOKUP($A23, 'Job Data'!$A$2:$P$220,14, FALSE)</f>
        <v>AQ0017 Spray bar</v>
      </c>
      <c r="F23" s="1" t="str">
        <f>VLOOKUP($A23, 'Job Data'!$A$2:$P$220,15, FALSE)</f>
        <v>C:\Users\wubia\OneDrive - Longi Magnet Australia Pty ltd\Documents - Longi Australia\03 Project Management\Client\Karara_Mining\Karara\AQ0017 Spray bar</v>
      </c>
      <c r="G23" s="16" t="str">
        <f t="shared" si="0"/>
        <v>Open Project Folder</v>
      </c>
      <c r="H23" s="1"/>
    </row>
    <row r="24" spans="1:8" ht="24.65" customHeight="1">
      <c r="A24" s="24" t="s">
        <v>247</v>
      </c>
      <c r="B24" s="24">
        <v>1</v>
      </c>
      <c r="C24" s="7" t="str">
        <f>VLOOKUP($A24, 'Job Data'!$A$2:$P$220,2, FALSE)</f>
        <v>Blackore</v>
      </c>
      <c r="D24" s="7" t="str">
        <f>VLOOKUP($A24, 'Job Data'!$A$2:$P$220,3, FALSE)</f>
        <v>Extension Hill</v>
      </c>
      <c r="E24" s="7" t="str">
        <f>VLOOKUP($A24, 'Job Data'!$A$2:$P$220,14, FALSE)</f>
        <v xml:space="preserve">AQ0018 DLIMS </v>
      </c>
      <c r="F24" s="1" t="str">
        <f>VLOOKUP($A24, 'Job Data'!$A$2:$P$220,15, FALSE)</f>
        <v xml:space="preserve">C:\Users\wubia\OneDrive - Longi Magnet Australia Pty ltd\Documents - Longi Australia\03 Project Management\Client\Blackore\Extension Hill\AQ0018 DLIMS </v>
      </c>
      <c r="G24" s="16" t="str">
        <f t="shared" si="0"/>
        <v>Open Project Folder</v>
      </c>
      <c r="H24" s="1"/>
    </row>
    <row r="25" spans="1:8" ht="24.65" customHeight="1">
      <c r="A25" s="24" t="s">
        <v>249</v>
      </c>
      <c r="B25" s="24">
        <v>1</v>
      </c>
      <c r="C25" s="7" t="str">
        <f>VLOOKUP($A25, 'Job Data'!$A$2:$P$220,2, FALSE)</f>
        <v>SIMEC</v>
      </c>
      <c r="D25" s="7" t="str">
        <f>VLOOKUP($A25, 'Job Data'!$A$2:$P$220,3, FALSE)</f>
        <v>MEP 2</v>
      </c>
      <c r="E25" s="7" t="str">
        <f>VLOOKUP($A25, 'Job Data'!$A$2:$P$220,14, FALSE)</f>
        <v>AQ0019 CAP-MAG066-1186 Wet Magnetic Separators</v>
      </c>
      <c r="F25" s="1" t="str">
        <f>VLOOKUP($A25, 'Job Data'!$A$2:$P$220,15, FALSE)</f>
        <v>C:\Users\wubia\OneDrive - Longi Magnet Australia Pty ltd\Documents - Longi Australia\03 Project Management\Client\SIMEC\MEP 2\AQ0019 CAP-MAG066-1186 Wet Magnetic Separators</v>
      </c>
      <c r="G25" s="16" t="str">
        <f>HYPERLINK(SUBSTITUTE(SUBSTITUTE(F25, "C:\Users\wubia\OneDrive - Longi Magnet Australia Pty ltd\Documents - Longi Australia", "C:\Users\lzx15\Longi Magnet Australia Pty ltd\Longi Australia - Documents"), "\\", "\\"),"Open Project Folder")</f>
        <v>Open Project Folder</v>
      </c>
      <c r="H25" s="1"/>
    </row>
    <row r="26" spans="1:8" ht="24.65" customHeight="1">
      <c r="A26" s="24" t="s">
        <v>703</v>
      </c>
      <c r="B26" s="24">
        <v>1</v>
      </c>
      <c r="C26" s="7" t="str">
        <f>VLOOKUP($A26, 'Job Data'!$A$2:$P$220,2, FALSE)</f>
        <v>Riotinto</v>
      </c>
      <c r="D26" s="7" t="str">
        <f>VLOOKUP($A26, 'Job Data'!$A$2:$P$220,3, FALSE)</f>
        <v>Tom Price</v>
      </c>
      <c r="E26" s="7" t="str">
        <f>VLOOKUP($A26, 'Job Data'!$A$2:$P$220,14, FALSE)</f>
        <v xml:space="preserve">AQ0020 Replacing Magnetic Separators </v>
      </c>
      <c r="F26" s="1" t="str">
        <f>VLOOKUP($A26, 'Job Data'!$A$2:$P$220,15, FALSE)</f>
        <v xml:space="preserve">C:\Users\wubia\OneDrive - Longi Magnet Australia Pty ltd\Documents - Longi Australia\03 Project Management\Client\Riotinto\Tom Price\AQ0020 Replacing Magnetic Separators </v>
      </c>
      <c r="G26" s="16" t="str">
        <f t="shared" si="0"/>
        <v>Open Project Folder</v>
      </c>
      <c r="H26" s="1"/>
    </row>
    <row r="27" spans="1:8" ht="24.65" customHeight="1">
      <c r="A27" s="24" t="s">
        <v>254</v>
      </c>
      <c r="B27" s="24">
        <v>1</v>
      </c>
      <c r="C27" s="5" t="str">
        <f>VLOOKUP($A27, 'Job Data'!$A$2:$P$220,2, FALSE)</f>
        <v>FMG</v>
      </c>
      <c r="D27" s="5" t="str">
        <f>VLOOKUP($A27, 'Job Data'!$A$2:$P$220,3, FALSE)</f>
        <v>Iron Bridge</v>
      </c>
      <c r="E27" s="5" t="str">
        <f>VLOOKUP($A27, 'Job Data'!$A$2:$P$220,14, FALSE)</f>
        <v>AQ0021 RMS Replacement</v>
      </c>
      <c r="F27" s="1" t="str">
        <f>VLOOKUP($A27, 'Job Data'!$A$2:$P$220,15, FALSE)</f>
        <v>C:\Users\wubia\OneDrive - Longi Magnet Australia Pty ltd\Documents - Longi Australia\03 Project Management\Client\FMG\Iron Bridge\AQ0021 RMS Replacement</v>
      </c>
      <c r="G27" s="16" t="str">
        <f t="shared" si="0"/>
        <v>Open Project Folder</v>
      </c>
      <c r="H27" s="1"/>
    </row>
    <row r="28" spans="1:8" ht="24.65" customHeight="1">
      <c r="A28" s="24" t="s">
        <v>266</v>
      </c>
      <c r="B28" s="24">
        <v>1</v>
      </c>
      <c r="C28" s="5" t="str">
        <f>VLOOKUP($A28, 'Job Data'!$A$2:$P$220,2, FALSE)</f>
        <v>MRL</v>
      </c>
      <c r="D28" s="5" t="str">
        <f>VLOOKUP($A28, 'Job Data'!$A$2:$P$220,3, FALSE)</f>
        <v>Mt Marion</v>
      </c>
      <c r="E28" s="5" t="str">
        <f>VLOOKUP($A28, 'Job Data'!$A$2:$P$220,14, FALSE)</f>
        <v>AQ0022 LIMS and WHIMS(Minsol)</v>
      </c>
      <c r="F28" s="1" t="str">
        <f>VLOOKUP($A28, 'Job Data'!$A$2:$P$220,15, FALSE)</f>
        <v>C:\Users\wubia\OneDrive - Longi Magnet Australia Pty ltd\Documents - Longi Australia\03 Project Management\Client\MRL\Mt Marion\AQ0022 LIMS and WHIMS(Minsol)</v>
      </c>
      <c r="G28" s="16" t="str">
        <f t="shared" si="0"/>
        <v>Open Project Folder</v>
      </c>
      <c r="H28" s="1"/>
    </row>
    <row r="29" spans="1:8" ht="24.65" customHeight="1">
      <c r="A29" s="24" t="s">
        <v>267</v>
      </c>
      <c r="B29" s="24">
        <v>1</v>
      </c>
      <c r="C29" s="5" t="str">
        <f>VLOOKUP($A29, 'Job Data'!$A$2:$P$220,2, FALSE)</f>
        <v xml:space="preserve"> Savannah_Resources</v>
      </c>
      <c r="D29" s="5" t="str">
        <f>VLOOKUP($A29, 'Job Data'!$A$2:$P$220,3, FALSE)</f>
        <v>Barroso Lithium Project(Portugal)</v>
      </c>
      <c r="E29" s="5" t="str">
        <f>VLOOKUP($A29, 'Job Data'!$A$2:$P$220,14, FALSE)</f>
        <v>AQ0023 BLP LIMS and WHIMS(Minsol)</v>
      </c>
      <c r="F29" s="1" t="str">
        <f>VLOOKUP($A29, 'Job Data'!$A$2:$P$220,15, FALSE)</f>
        <v>C:\Users\wubia\OneDrive - Longi Magnet Australia Pty ltd\Documents - Longi Australia\03 Project Management\Client\ Savannah_Resources\Barroso Lithium Project(Portugal)\AQ0023 BLP LIMS and WHIMS(Minsol)</v>
      </c>
      <c r="G29" s="16" t="str">
        <f t="shared" si="0"/>
        <v>Open Project Folder</v>
      </c>
      <c r="H29" s="1"/>
    </row>
    <row r="30" spans="1:8" ht="24.65" customHeight="1">
      <c r="A30" s="24" t="s">
        <v>291</v>
      </c>
      <c r="B30" s="24">
        <v>1</v>
      </c>
      <c r="C30" s="5" t="str">
        <f>VLOOKUP($A30, 'Job Data'!$A$2:$P$220,2, FALSE)</f>
        <v>HanRoy</v>
      </c>
      <c r="D30" s="5" t="str">
        <f>VLOOKUP($A30, 'Job Data'!$A$2:$P$220,3, FALSE)</f>
        <v>Ridley</v>
      </c>
      <c r="E30" s="5" t="str">
        <f>VLOOKUP($A30, 'Job Data'!$A$2:$P$220,14, FALSE)</f>
        <v>AQ0024 HI-RDLY-0109</v>
      </c>
      <c r="F30" s="1" t="str">
        <f>VLOOKUP($A30, 'Job Data'!$A$2:$P$220,15, FALSE)</f>
        <v>C:\Users\wubia\OneDrive - Longi Magnet Australia Pty ltd\Documents - Longi Australia\03 Project Management\Client\HanRoy\Ridley\AQ0024 HI-RDLY-0109</v>
      </c>
      <c r="G30" s="16" t="str">
        <f t="shared" si="0"/>
        <v>Open Project Folder</v>
      </c>
      <c r="H30" s="1"/>
    </row>
    <row r="31" spans="1:8" ht="24.65" customHeight="1">
      <c r="A31" s="24" t="s">
        <v>326</v>
      </c>
      <c r="B31" s="24">
        <v>1</v>
      </c>
      <c r="C31" s="5" t="str">
        <f>VLOOKUP($A31, 'Job Data'!$A$2:$P$220,2, FALSE)</f>
        <v>MRL</v>
      </c>
      <c r="D31" s="5" t="str">
        <f>VLOOKUP($A31, 'Job Data'!$A$2:$P$220,3, FALSE)</f>
        <v>Mt Marion</v>
      </c>
      <c r="E31" s="5" t="str">
        <f>VLOOKUP($A31, 'Job Data'!$A$2:$P$220,14, FALSE)</f>
        <v>AQ0025 Heat Exchanger Upgade</v>
      </c>
      <c r="F31" s="1" t="str">
        <f>VLOOKUP($A31, 'Job Data'!$A$2:$P$220,15, FALSE)</f>
        <v>..\Client\MRL\Mt Marion\AQ0025 Heat Exchanger Upgade</v>
      </c>
      <c r="G31" s="16" t="str">
        <f t="shared" si="0"/>
        <v>Open Project Folder</v>
      </c>
      <c r="H31" s="1"/>
    </row>
    <row r="32" spans="1:8" ht="24.65" customHeight="1">
      <c r="A32" s="24" t="s">
        <v>327</v>
      </c>
      <c r="B32" s="24">
        <v>1</v>
      </c>
      <c r="C32" s="5" t="str">
        <f>VLOOKUP($A32, 'Job Data'!$A$2:$P$220,2, FALSE)</f>
        <v>SIMEC</v>
      </c>
      <c r="D32" s="5" t="str">
        <f>VLOOKUP($A32, 'Job Data'!$A$2:$P$220,3, FALSE)</f>
        <v>MEP 1</v>
      </c>
      <c r="E32" s="5" t="str">
        <f>VLOOKUP($A32, 'Job Data'!$A$2:$P$220,14, FALSE)</f>
        <v>AQ0026 Metal Detector</v>
      </c>
      <c r="F32" s="1" t="str">
        <f>VLOOKUP($A32, 'Job Data'!$A$2:$P$220,15, FALSE)</f>
        <v>C:\Users\wubia\OneDrive - Longi Magnet Australia Pty ltd\Documents - Longi Australia\03 Project Management\Client\SIMEC\MEP 1\AQ0026 Metal Detector</v>
      </c>
      <c r="G32" s="16" t="str">
        <f t="shared" si="0"/>
        <v>Open Project Folder</v>
      </c>
      <c r="H32" s="1"/>
    </row>
    <row r="33" spans="1:8" ht="24.65" customHeight="1">
      <c r="A33" s="24" t="s">
        <v>704</v>
      </c>
      <c r="B33" s="24">
        <v>1</v>
      </c>
      <c r="C33" s="5" t="str">
        <f>VLOOKUP($A33, 'Job Data'!$A$2:$P$220,2, FALSE)</f>
        <v>_MWPA</v>
      </c>
      <c r="D33" s="5" t="str">
        <f>VLOOKUP($A33, 'Job Data'!$A$2:$P$220,3, FALSE)</f>
        <v>Mid West Port Authority</v>
      </c>
      <c r="E33" s="5" t="str">
        <f>VLOOKUP($A33, 'Job Data'!$A$2:$P$220,14, FALSE)</f>
        <v>AQ0027 Metal Detector</v>
      </c>
      <c r="F33" s="1" t="str">
        <f>VLOOKUP($A33, 'Job Data'!$A$2:$P$220,15, FALSE)</f>
        <v>C:\Users\wubia\OneDrive - Longi Magnet Australia Pty ltd\Documents - Longi Australia\03 Project Management\Client\_MWPA\Mid West Port Authority\AQ0027 Metal Detector</v>
      </c>
      <c r="G33" s="16" t="str">
        <f t="shared" si="0"/>
        <v>Open Project Folder</v>
      </c>
      <c r="H33" s="1"/>
    </row>
    <row r="34" spans="1:8" ht="24.65" customHeight="1">
      <c r="A34" s="24" t="s">
        <v>329</v>
      </c>
      <c r="B34" s="24">
        <v>1</v>
      </c>
      <c r="C34" s="5" t="str">
        <f>VLOOKUP($A34, 'Job Data'!$A$2:$P$220,2, FALSE)</f>
        <v>PEABODY_ENERGY</v>
      </c>
      <c r="D34" s="5" t="str">
        <f>VLOOKUP($A34, 'Job Data'!$A$2:$P$220,3, FALSE)</f>
        <v>WINBO</v>
      </c>
      <c r="E34" s="5" t="str">
        <f>VLOOKUP($A34, 'Job Data'!$A$2:$P$220,14, FALSE)</f>
        <v>AQ0028 HMDS Drum Replacment</v>
      </c>
      <c r="F34" s="1" t="str">
        <f>VLOOKUP($A34, 'Job Data'!$A$2:$P$220,15, FALSE)</f>
        <v>C:\Users\wubia\OneDrive - Longi Magnet Australia Pty ltd\Documents - Longi Australia\03 Project Management\Client\PEABODY_ENERGY\WINBO\AQ0028 HMDS Drum Replacment</v>
      </c>
      <c r="G34" s="16" t="str">
        <f t="shared" si="0"/>
        <v>Open Project Folder</v>
      </c>
      <c r="H34" s="1"/>
    </row>
    <row r="35" spans="1:8" ht="24.65" customHeight="1">
      <c r="A35" s="24" t="s">
        <v>381</v>
      </c>
      <c r="B35" s="24">
        <v>1</v>
      </c>
      <c r="C35" s="5" t="str">
        <f>VLOOKUP($A35, 'Job Data'!$A$2:$P$220,2, FALSE)</f>
        <v>MRL</v>
      </c>
      <c r="D35" s="5" t="str">
        <f>VLOOKUP($A35, 'Job Data'!$A$2:$P$220,3, FALSE)</f>
        <v>Mt Marion</v>
      </c>
      <c r="E35" s="5" t="str">
        <f>VLOOKUP($A35, 'Job Data'!$A$2:$P$220,14, FALSE)</f>
        <v>AQ0029 WHIMS SPARES</v>
      </c>
      <c r="F35" s="1" t="str">
        <f>VLOOKUP($A35, 'Job Data'!$A$2:$P$220,15, FALSE)</f>
        <v>C:\Users\wubia\OneDrive - Longi Magnet Australia Pty ltd\Documents - Longi Australia\03 Project Management\Client\MRL\Mt Marion\AQ0029 WHIMS SPARES</v>
      </c>
      <c r="G35" s="16" t="str">
        <f t="shared" si="0"/>
        <v>Open Project Folder</v>
      </c>
      <c r="H35" s="1"/>
    </row>
    <row r="36" spans="1:8" ht="24.65" customHeight="1">
      <c r="A36" s="24" t="s">
        <v>382</v>
      </c>
      <c r="B36" s="24">
        <v>1</v>
      </c>
      <c r="C36" s="5" t="str">
        <f>VLOOKUP($A36, 'Job Data'!$A$2:$P$220,2, FALSE)</f>
        <v>FMG</v>
      </c>
      <c r="D36" s="5" t="str">
        <f>VLOOKUP($A36, 'Job Data'!$A$2:$P$220,3, FALSE)</f>
        <v>Solomon</v>
      </c>
      <c r="E36" s="5" t="str">
        <f>VLOOKUP($A36, 'Job Data'!$A$2:$P$220,14, FALSE)</f>
        <v>AQ0030 DMS LIMS</v>
      </c>
      <c r="F36" s="1" t="str">
        <f>VLOOKUP($A36, 'Job Data'!$A$2:$P$220,15, FALSE)</f>
        <v>C:\Users\wubia\OneDrive - Longi Magnet Australia Pty ltd\Documents - Longi Australia\03 Project Management\Client\FMG\Solomon\AQ0030 DMS LIMS</v>
      </c>
      <c r="G36" s="16" t="str">
        <f t="shared" si="0"/>
        <v>Open Project Folder</v>
      </c>
      <c r="H36" s="1"/>
    </row>
    <row r="37" spans="1:8" ht="24.65" customHeight="1">
      <c r="A37" s="24" t="s">
        <v>383</v>
      </c>
      <c r="B37" s="24">
        <v>1</v>
      </c>
      <c r="C37" s="5" t="str">
        <f>VLOOKUP($A37, 'Job Data'!$A$2:$P$220,2, FALSE)</f>
        <v>MRL</v>
      </c>
      <c r="D37" s="5" t="str">
        <f>VLOOKUP($A37, 'Job Data'!$A$2:$P$220,3, FALSE)</f>
        <v>Mt Marion</v>
      </c>
      <c r="E37" s="5" t="str">
        <f>VLOOKUP($A37, 'Job Data'!$A$2:$P$220,14, FALSE)</f>
        <v>AQ0031 WHIMS SPARES</v>
      </c>
      <c r="F37" s="1" t="str">
        <f>VLOOKUP($A37, 'Job Data'!$A$2:$P$220,15, FALSE)</f>
        <v>C:\Users\wubia\OneDrive - Longi Magnet Australia Pty ltd\Documents - Longi Australia\03 Project Management\Client\MRL\Mt Marion\AQ0031 WHIMS SPARES</v>
      </c>
      <c r="G37" s="16" t="str">
        <f t="shared" si="0"/>
        <v>Open Project Folder</v>
      </c>
      <c r="H37" s="1"/>
    </row>
    <row r="38" spans="1:8" ht="24.65" customHeight="1">
      <c r="A38" s="24" t="s">
        <v>387</v>
      </c>
      <c r="B38" s="24">
        <v>1</v>
      </c>
      <c r="C38" s="5" t="str">
        <f>VLOOKUP($A38, 'Job Data'!$A$2:$P$220,2, FALSE)</f>
        <v>SIMEC</v>
      </c>
      <c r="D38" s="5" t="str">
        <f>VLOOKUP($A38, 'Job Data'!$A$2:$P$220,3, FALSE)</f>
        <v>MEP 3</v>
      </c>
      <c r="E38" s="5" t="str">
        <f>VLOOKUP($A38, 'Job Data'!$A$2:$P$220,14, FALSE)</f>
        <v>AQ0032 LJC Budget</v>
      </c>
      <c r="F38" s="1" t="str">
        <f>VLOOKUP($A38, 'Job Data'!$A$2:$P$220,15, FALSE)</f>
        <v>C:\Users\wubia\OneDrive - Longi Magnet Australia Pty ltd\Documents - Longi Australia\03 Project Management\Client\SIMEC\MEP 3\AQ0032 LJC Budget</v>
      </c>
      <c r="G38" s="16" t="str">
        <f t="shared" si="0"/>
        <v>Open Project Folder</v>
      </c>
      <c r="H38" s="1"/>
    </row>
    <row r="39" spans="1:8" ht="24.65" customHeight="1">
      <c r="A39" s="24" t="s">
        <v>384</v>
      </c>
      <c r="B39" s="24">
        <v>1</v>
      </c>
      <c r="C39" s="5" t="str">
        <f>VLOOKUP($A39, 'Job Data'!$A$2:$P$220,2, FALSE)</f>
        <v>MRL</v>
      </c>
      <c r="D39" s="5" t="str">
        <f>VLOOKUP($A39, 'Job Data'!$A$2:$P$220,3, FALSE)</f>
        <v>Wodgina</v>
      </c>
      <c r="E39" s="5" t="str">
        <f>VLOOKUP($A39, 'Job Data'!$A$2:$P$220,14, FALSE)</f>
        <v>AQ0033 WHIMS SPARES</v>
      </c>
      <c r="F39" s="1" t="str">
        <f>VLOOKUP($A39, 'Job Data'!$A$2:$P$220,15, FALSE)</f>
        <v>C:\Users\wubia\OneDrive - Longi Magnet Australia Pty ltd\Documents - Longi Australia\03 Project Management\Client\MRL\Wodgina\AQ0033 WHIMS SPARES</v>
      </c>
      <c r="G39" s="16" t="str">
        <f t="shared" si="0"/>
        <v>Open Project Folder</v>
      </c>
      <c r="H39" s="1"/>
    </row>
    <row r="40" spans="1:8" ht="24.65" customHeight="1">
      <c r="A40" s="24" t="s">
        <v>385</v>
      </c>
      <c r="B40" s="24">
        <v>1</v>
      </c>
      <c r="C40" s="5" t="str">
        <f>VLOOKUP($A40, 'Job Data'!$A$2:$P$220,2, FALSE)</f>
        <v>Riotinto</v>
      </c>
      <c r="D40" s="5" t="str">
        <f>VLOOKUP($A40, 'Job Data'!$A$2:$P$220,3, FALSE)</f>
        <v xml:space="preserve">HVO </v>
      </c>
      <c r="E40" s="5" t="str">
        <f>VLOOKUP($A40, 'Job Data'!$A$2:$P$220,14, FALSE)</f>
        <v>AQ0034 CHPP</v>
      </c>
      <c r="F40" s="1" t="str">
        <f>VLOOKUP($A40, 'Job Data'!$A$2:$P$220,15, FALSE)</f>
        <v>C:\Users\wubia\OneDrive - Longi Magnet Australia Pty ltd\Documents - Longi Australia\03 Project Management\Client\Riotinto\\AQ0034 HVO CHPP</v>
      </c>
      <c r="G40" s="16" t="str">
        <f t="shared" si="0"/>
        <v>Open Project Folder</v>
      </c>
      <c r="H40" s="1"/>
    </row>
    <row r="41" spans="1:8" ht="24.65" customHeight="1">
      <c r="A41" s="24" t="s">
        <v>386</v>
      </c>
      <c r="B41" s="24">
        <v>1</v>
      </c>
      <c r="C41" s="5" t="str">
        <f>VLOOKUP($A41, 'Job Data'!$A$2:$P$220,2, FALSE)</f>
        <v>PLS</v>
      </c>
      <c r="D41" s="5" t="str">
        <f>VLOOKUP($A41, 'Job Data'!$A$2:$P$220,3, FALSE)</f>
        <v>Pilgangoora</v>
      </c>
      <c r="E41" s="5" t="str">
        <f>VLOOKUP($A41, 'Job Data'!$A$2:$P$220,14, FALSE)</f>
        <v>AQ0035 P1000</v>
      </c>
      <c r="F41" s="1" t="str">
        <f>VLOOKUP($A41, 'Job Data'!$A$2:$P$220,15, FALSE)</f>
        <v>C:\Users\wubia\OneDrive - Longi Magnet Australia Pty ltd\Documents - Longi Australia\03 Project Management\Client\PLS\Pilgangoora\AQ0035 P1000</v>
      </c>
      <c r="G41" s="16" t="str">
        <f t="shared" si="0"/>
        <v>Open Project Folder</v>
      </c>
      <c r="H41" s="1"/>
    </row>
    <row r="42" spans="1:8" ht="24.65" customHeight="1">
      <c r="A42" s="24" t="s">
        <v>390</v>
      </c>
      <c r="B42" s="24">
        <v>1</v>
      </c>
      <c r="C42" s="5" t="str">
        <f>VLOOKUP($A42, 'Job Data'!$A$2:$P$220,2, FALSE)</f>
        <v>Norton</v>
      </c>
      <c r="D42" s="5" t="str">
        <f>VLOOKUP($A42, 'Job Data'!$A$2:$P$220,3, FALSE)</f>
        <v>Paddington</v>
      </c>
      <c r="E42" s="5" t="str">
        <f>VLOOKUP($A42, 'Job Data'!$A$2:$P$220,14, FALSE)</f>
        <v xml:space="preserve">AQ0036 Belt iron remover </v>
      </c>
      <c r="F42" s="1" t="str">
        <f>VLOOKUP($A42, 'Job Data'!$A$2:$P$220,15, FALSE)</f>
        <v xml:space="preserve">C:\Users\wubia\OneDrive - Longi Magnet Australia Pty ltd\Documents - Longi Australia\03 Project Management\Client\Norton\Paddington\AQ0036 Belt iron remover </v>
      </c>
      <c r="G42" s="16" t="str">
        <f t="shared" si="0"/>
        <v>Open Project Folder</v>
      </c>
      <c r="H42" s="1"/>
    </row>
    <row r="43" spans="1:8" ht="24.65" customHeight="1">
      <c r="A43" s="24" t="s">
        <v>465</v>
      </c>
      <c r="B43" s="24">
        <v>1</v>
      </c>
      <c r="C43" s="5" t="str">
        <f>VLOOKUP($A43, 'Job Data'!$A$2:$P$220,2, FALSE)</f>
        <v>SIMEC</v>
      </c>
      <c r="D43" s="5" t="str">
        <f>VLOOKUP($A43, 'Job Data'!$A$2:$P$220,3, FALSE)</f>
        <v>MEP 1</v>
      </c>
      <c r="E43" s="5" t="str">
        <f>VLOOKUP($A43, 'Job Data'!$A$2:$P$220,14, FALSE)</f>
        <v>AQ0037 DLIMS FS MT</v>
      </c>
      <c r="F43" s="1" t="str">
        <f>VLOOKUP($A43, 'Job Data'!$A$2:$P$220,15, FALSE)</f>
        <v>C:\Users\wubia\OneDrive - Longi Magnet Australia Pty ltd\Documents - Longi Australia\03 Project Management\Client\SIMEC\MEP 1\AQ0037 DLIMS FS MT</v>
      </c>
      <c r="G43" s="16" t="str">
        <f t="shared" si="0"/>
        <v>Open Project Folder</v>
      </c>
      <c r="H43" s="1"/>
    </row>
    <row r="44" spans="1:8" ht="24.65" customHeight="1">
      <c r="A44" s="24" t="s">
        <v>466</v>
      </c>
      <c r="B44" s="24">
        <v>1</v>
      </c>
      <c r="C44" s="5" t="str">
        <f>VLOOKUP($A44, 'Job Data'!$A$2:$P$220,2, FALSE)</f>
        <v>MNREC</v>
      </c>
      <c r="D44" s="5" t="str">
        <f>VLOOKUP($A44, 'Job Data'!$A$2:$P$220,3, FALSE)</f>
        <v>Khalzan_Buregtei</v>
      </c>
      <c r="E44" s="5" t="str">
        <f>VLOOKUP($A44, 'Job Data'!$A$2:$P$220,14, FALSE)</f>
        <v>AQ0038 WHIMS PFS</v>
      </c>
      <c r="F44" s="1" t="str">
        <f>VLOOKUP($A44, 'Job Data'!$A$2:$P$220,15, FALSE)</f>
        <v>C:\Users\wubia\OneDrive - Longi Magnet Australia Pty ltd\Documents - Longi Australia\03 Project Management\Client\MNREC\Khalzan_Buregtei\AQ0038 WHIMS PFS</v>
      </c>
      <c r="G44" s="16" t="str">
        <f t="shared" si="0"/>
        <v>Open Project Folder</v>
      </c>
      <c r="H44" s="1"/>
    </row>
    <row r="45" spans="1:8" ht="24.65" customHeight="1">
      <c r="A45" s="24" t="s">
        <v>705</v>
      </c>
      <c r="B45" s="24">
        <v>1</v>
      </c>
      <c r="C45" s="5" t="str">
        <f>VLOOKUP($A45, 'Job Data'!$A$2:$P$220,2, FALSE)</f>
        <v>Blackore</v>
      </c>
      <c r="D45" s="5" t="str">
        <f>VLOOKUP($A45, 'Job Data'!$A$2:$P$220,3, FALSE)</f>
        <v>Extension Hill</v>
      </c>
      <c r="E45" s="5" t="str">
        <f>VLOOKUP($A45, 'Job Data'!$A$2:$P$220,14, FALSE)</f>
        <v>AQ0039 LCGJ DMS</v>
      </c>
      <c r="F45" s="1" t="str">
        <f>VLOOKUP($A45, 'Job Data'!$A$2:$P$220,15, FALSE)</f>
        <v>C:\Users\wubia\OneDrive - Longi Magnet Australia Pty ltd\Documents - Longi Australia\03 Project Management\Client\Blackore\Extension Hill\AQ0039 LCGJ DMS</v>
      </c>
      <c r="G45" s="16" t="str">
        <f t="shared" si="0"/>
        <v>Open Project Folder</v>
      </c>
      <c r="H45" s="1"/>
    </row>
    <row r="46" spans="1:8" ht="24.65" customHeight="1">
      <c r="A46" s="24" t="s">
        <v>467</v>
      </c>
      <c r="B46" s="24">
        <v>1</v>
      </c>
      <c r="C46" s="5" t="str">
        <f>VLOOKUP($A46, 'Job Data'!$A$2:$P$220,2, FALSE)</f>
        <v>Globel_Lithium</v>
      </c>
      <c r="D46" s="5" t="str">
        <f>VLOOKUP($A46, 'Job Data'!$A$2:$P$220,3, FALSE)</f>
        <v>Manna Lithium</v>
      </c>
      <c r="E46" s="5" t="str">
        <f>VLOOKUP($A46, 'Job Data'!$A$2:$P$220,14, FALSE)</f>
        <v>AQ0040 DFS CP008 MS</v>
      </c>
      <c r="F46" s="1" t="str">
        <f>VLOOKUP($A46, 'Job Data'!$A$2:$P$220,15, FALSE)</f>
        <v>C:\Users\wubia\OneDrive - Longi Magnet Australia Pty ltd\Documents - Longi Australia\03 Project Management\Client\Globel_Lithium\Manna Lithium\AQ0040 DFS CP008 MS</v>
      </c>
      <c r="G46" s="16" t="str">
        <f t="shared" si="0"/>
        <v>Open Project Folder</v>
      </c>
      <c r="H46" s="1"/>
    </row>
    <row r="47" spans="1:8" ht="24.65" customHeight="1">
      <c r="A47" s="24" t="s">
        <v>468</v>
      </c>
      <c r="B47" s="24">
        <v>1</v>
      </c>
      <c r="C47" s="5" t="str">
        <f>VLOOKUP($A47, 'Job Data'!$A$2:$P$220,2, FALSE)</f>
        <v>BV</v>
      </c>
      <c r="D47" s="5" t="str">
        <f>VLOOKUP($A47, 'Job Data'!$A$2:$P$220,3, FALSE)</f>
        <v>BV Perth</v>
      </c>
      <c r="E47" s="5" t="str">
        <f>VLOOKUP($A47, 'Job Data'!$A$2:$P$220,14, FALSE)</f>
        <v>AQ0041 LGS-EX Replacement</v>
      </c>
      <c r="F47" s="1" t="str">
        <f>VLOOKUP($A47, 'Job Data'!$A$2:$P$220,15, FALSE)</f>
        <v>C:\Users\wubia\OneDrive - Longi Magnet Australia Pty ltd\Documents - Longi Australia\03 Project Management\Client\BV\BV Perth\AQ0041 LGS-EX Replacement</v>
      </c>
      <c r="G47" s="16" t="str">
        <f t="shared" si="0"/>
        <v>Open Project Folder</v>
      </c>
      <c r="H47" s="1"/>
    </row>
    <row r="48" spans="1:8" ht="24.65" customHeight="1">
      <c r="A48" s="24" t="s">
        <v>469</v>
      </c>
      <c r="B48" s="24">
        <v>1</v>
      </c>
      <c r="C48" s="5" t="str">
        <f>VLOOKUP($A48, 'Job Data'!$A$2:$P$220,2, FALSE)</f>
        <v>SIMEC</v>
      </c>
      <c r="D48" s="5" t="str">
        <f>VLOOKUP($A48, 'Job Data'!$A$2:$P$220,3, FALSE)</f>
        <v>MEP 1</v>
      </c>
      <c r="E48" s="5" t="str">
        <f>VLOOKUP($A48, 'Job Data'!$A$2:$P$220,14, FALSE)</f>
        <v>AQ0042 UCMS FS MT</v>
      </c>
      <c r="F48" s="1" t="str">
        <f>VLOOKUP($A48, 'Job Data'!$A$2:$P$220,15, FALSE)</f>
        <v>C:\Users\wubia\OneDrive - Longi Magnet Australia Pty ltd\Documents - Longi Australia\03 Project Management\Client\SIMEC\MEP 1\AQ0042 UCMS FS MT</v>
      </c>
      <c r="G48" s="16" t="str">
        <f t="shared" si="0"/>
        <v>Open Project Folder</v>
      </c>
      <c r="H48" s="1"/>
    </row>
    <row r="49" spans="1:8" ht="24.65" customHeight="1">
      <c r="A49" s="24" t="s">
        <v>706</v>
      </c>
      <c r="B49" s="24">
        <v>1</v>
      </c>
      <c r="C49" s="5" t="str">
        <f>VLOOKUP($A49, 'Job Data'!$A$2:$P$220,2, FALSE)</f>
        <v>ALS</v>
      </c>
      <c r="D49" s="5" t="str">
        <f>VLOOKUP($A49, 'Job Data'!$A$2:$P$220,3, FALSE)</f>
        <v>ALS Balcata</v>
      </c>
      <c r="E49" s="5" t="str">
        <f>VLOOKUP($A49, 'Job Data'!$A$2:$P$220,14, FALSE)</f>
        <v>AQ0043 LGS-500 Rentel</v>
      </c>
      <c r="F49" s="1" t="str">
        <f>VLOOKUP($A49, 'Job Data'!$A$2:$P$220,15, FALSE)</f>
        <v>C:\Users\wubia\OneDrive - Longi Magnet Australia Pty ltd\Documents - Longi Australia\03 Project Management\Client\ALS\ALS Balcata\AQ0043 LGS-500 Rentel</v>
      </c>
      <c r="G49" s="16" t="str">
        <f t="shared" si="0"/>
        <v>Open Project Folder</v>
      </c>
      <c r="H49" s="1"/>
    </row>
    <row r="50" spans="1:8" ht="24.65" customHeight="1">
      <c r="A50" s="24" t="s">
        <v>471</v>
      </c>
      <c r="B50" s="24">
        <v>1</v>
      </c>
      <c r="C50" s="5" t="str">
        <f>VLOOKUP($A50, 'Job Data'!$A$2:$P$220,2, FALSE)</f>
        <v>Talison</v>
      </c>
      <c r="D50" s="5" t="str">
        <f>VLOOKUP($A50, 'Job Data'!$A$2:$P$220,3, FALSE)</f>
        <v>Greenbush</v>
      </c>
      <c r="E50" s="5" t="str">
        <f>VLOOKUP($A50, 'Job Data'!$A$2:$P$220,14, FALSE)</f>
        <v>AQ0044 CGP1 COMPLETE CHANGE</v>
      </c>
      <c r="F50" s="1" t="str">
        <f>VLOOKUP($A50, 'Job Data'!$A$2:$P$220,15, FALSE)</f>
        <v>C:\Users\wubia\OneDrive - Longi Magnet Australia Pty ltd\Documents - Longi Australia\03 Project Management\Client\Talison\\AQ0044 CGP1 COMPLETE CHANGE</v>
      </c>
      <c r="G50" s="16" t="str">
        <f t="shared" si="0"/>
        <v>Open Project Folder</v>
      </c>
      <c r="H50" s="1"/>
    </row>
    <row r="51" spans="1:8" ht="24.65" customHeight="1">
      <c r="A51" s="24" t="s">
        <v>472</v>
      </c>
      <c r="B51" s="24">
        <v>1</v>
      </c>
      <c r="C51" s="5" t="str">
        <f>VLOOKUP($A51, 'Job Data'!$A$2:$P$220,2, FALSE)</f>
        <v>Talison</v>
      </c>
      <c r="D51" s="5" t="str">
        <f>VLOOKUP($A51, 'Job Data'!$A$2:$P$220,3, FALSE)</f>
        <v>Greenbush</v>
      </c>
      <c r="E51" s="5" t="str">
        <f>VLOOKUP($A51, 'Job Data'!$A$2:$P$220,14, FALSE)</f>
        <v>AQ0045 CGP2 COMPLETE CHANGE</v>
      </c>
      <c r="F51" s="1" t="str">
        <f>VLOOKUP($A51, 'Job Data'!$A$2:$P$220,15, FALSE)</f>
        <v>C:\Users\wubia\OneDrive - Longi Magnet Australia Pty ltd\Documents - Longi Australia\03 Project Management\Client\Talison\\AQ0045 CGP2 COMPLETE CHANGE</v>
      </c>
      <c r="G51" s="16" t="str">
        <f t="shared" si="0"/>
        <v>Open Project Folder</v>
      </c>
      <c r="H51" s="1"/>
    </row>
    <row r="52" spans="1:8" ht="24.65" customHeight="1">
      <c r="A52" s="24" t="s">
        <v>707</v>
      </c>
      <c r="B52" s="24">
        <v>1</v>
      </c>
      <c r="C52" s="5" t="str">
        <f>VLOOKUP($A52, 'Job Data'!$A$2:$P$220,2, FALSE)</f>
        <v>ALS</v>
      </c>
      <c r="D52" s="5" t="str">
        <f>VLOOKUP($A52, 'Job Data'!$A$2:$P$220,3, FALSE)</f>
        <v>ALS Balcata</v>
      </c>
      <c r="E52" s="5" t="str">
        <f>VLOOKUP($A52, 'Job Data'!$A$2:$P$220,14, FALSE)</f>
        <v xml:space="preserve">AQ0046 LGS-100 </v>
      </c>
      <c r="F52" s="1" t="str">
        <f>VLOOKUP($A52, 'Job Data'!$A$2:$P$220,15, FALSE)</f>
        <v xml:space="preserve">C:\Users\wubia\OneDrive - Longi Magnet Australia Pty ltd\Documents - Longi Australia\03 Project Management\Client\ALS\ALS Balcata\AQ0046 LGS-100 </v>
      </c>
      <c r="G52" s="16" t="str">
        <f t="shared" si="0"/>
        <v>Open Project Folder</v>
      </c>
      <c r="H52" s="1"/>
    </row>
    <row r="53" spans="1:8" ht="24.65" customHeight="1">
      <c r="A53" s="24" t="s">
        <v>474</v>
      </c>
      <c r="B53" s="24">
        <v>1</v>
      </c>
      <c r="C53" s="5" t="str">
        <f>VLOOKUP($A53, 'Job Data'!$A$2:$P$220,2, FALSE)</f>
        <v>SIMEC</v>
      </c>
      <c r="D53" s="5" t="str">
        <f>VLOOKUP($A53, 'Job Data'!$A$2:$P$220,3, FALSE)</f>
        <v>MEP 1</v>
      </c>
      <c r="E53" s="5" t="str">
        <f>VLOOKUP($A53, 'Job Data'!$A$2:$P$220,14, FALSE)</f>
        <v>AQ0047 12935 CP008B DIMS Package</v>
      </c>
      <c r="F53" s="1" t="str">
        <f>VLOOKUP($A53, 'Job Data'!$A$2:$P$220,15, FALSE)</f>
        <v>C:\Users\wubia\OneDrive - Longi Magnet Australia Pty ltd\Documents - Longi Australia\03 Project Management\Client\SIMEC\MEP 1\AQ0047 12935 CP008B DIMS Package</v>
      </c>
      <c r="G53" s="16" t="str">
        <f t="shared" si="0"/>
        <v>Open Project Folder</v>
      </c>
      <c r="H53" s="1"/>
    </row>
    <row r="54" spans="1:8" ht="24.65" customHeight="1">
      <c r="A54" s="24" t="s">
        <v>475</v>
      </c>
      <c r="B54" s="24">
        <v>1</v>
      </c>
      <c r="C54" s="5" t="str">
        <f>VLOOKUP($A54, 'Job Data'!$A$2:$P$220,2, FALSE)</f>
        <v>SIMEC</v>
      </c>
      <c r="D54" s="5" t="str">
        <f>VLOOKUP($A54, 'Job Data'!$A$2:$P$220,3, FALSE)</f>
        <v>MEP 1</v>
      </c>
      <c r="E54" s="5" t="str">
        <f>VLOOKUP($A54, 'Job Data'!$A$2:$P$220,14, FALSE)</f>
        <v>AQ0048 12935 CP008C LJC Package</v>
      </c>
      <c r="F54" s="1" t="str">
        <f>VLOOKUP($A54, 'Job Data'!$A$2:$P$220,15, FALSE)</f>
        <v>C:\Users\wubia\OneDrive - Longi Magnet Australia Pty ltd\Documents - Longi Australia\03 Project Management\Client\SIMEC\MEP 1\AQ0048 12935 CP008C LJC Package</v>
      </c>
      <c r="G54" s="16" t="str">
        <f t="shared" si="0"/>
        <v>Open Project Folder</v>
      </c>
      <c r="H54" s="1"/>
    </row>
    <row r="55" spans="1:8" ht="24.65" customHeight="1">
      <c r="A55" s="24" t="s">
        <v>695</v>
      </c>
      <c r="B55" s="24">
        <v>1</v>
      </c>
      <c r="C55" s="5" t="str">
        <f>VLOOKUP($A55, 'Job Data'!$A$2:$P$220,2, FALSE)</f>
        <v>FMG</v>
      </c>
      <c r="D55" s="5" t="str">
        <f>VLOOKUP($A55, 'Job Data'!$A$2:$P$220,3, FALSE)</f>
        <v>Iron Bridge</v>
      </c>
      <c r="E55" s="5" t="str">
        <f>VLOOKUP($A55, 'Job Data'!$A$2:$P$220,14, FALSE)</f>
        <v>AQ0049 RCMS Replacement(LJC)</v>
      </c>
      <c r="F55" s="1" t="str">
        <f>VLOOKUP($A55, 'Job Data'!$A$2:$P$220,15, FALSE)</f>
        <v>C:\Users\wubia\OneDrive - Longi Magnet Australia Pty ltd\Documents - Longi Australia\03 Project Management\Client\FMG\Iron Bridge\AQ0049 RCMS Replacement(LJC)</v>
      </c>
      <c r="G55" s="16" t="str">
        <f t="shared" si="0"/>
        <v>Open Project Folder</v>
      </c>
      <c r="H55" s="1"/>
    </row>
    <row r="56" spans="1:8" ht="24.65" customHeight="1">
      <c r="A56" s="24" t="s">
        <v>476</v>
      </c>
      <c r="B56" s="24">
        <v>1</v>
      </c>
      <c r="C56" s="5" t="str">
        <f>VLOOKUP($A56, 'Job Data'!$A$2:$P$220,2, FALSE)</f>
        <v>FMG</v>
      </c>
      <c r="D56" s="5" t="str">
        <f>VLOOKUP($A56, 'Job Data'!$A$2:$P$220,3, FALSE)</f>
        <v>Newman</v>
      </c>
      <c r="E56" s="5" t="str">
        <f>VLOOKUP($A56, 'Job Data'!$A$2:$P$220,14, FALSE)</f>
        <v>AQ0050 Second LGS500</v>
      </c>
      <c r="F56" s="1" t="str">
        <f>VLOOKUP($A56, 'Job Data'!$A$2:$P$220,15, FALSE)</f>
        <v>C:\Users\wubia\OneDrive - Longi Magnet Australia Pty ltd\Documents - Longi Australia\03 Project Management\Client\FMG\Newman\AQ0050 Second LGS500</v>
      </c>
      <c r="G56" s="16" t="str">
        <f t="shared" si="0"/>
        <v>Open Project Folder</v>
      </c>
      <c r="H56" s="1"/>
    </row>
    <row r="57" spans="1:8" ht="24.65" customHeight="1">
      <c r="A57" s="24" t="s">
        <v>477</v>
      </c>
      <c r="B57" s="24">
        <v>1</v>
      </c>
      <c r="C57" s="5" t="str">
        <f>VLOOKUP($A57, 'Job Data'!$A$2:$P$220,2, FALSE)</f>
        <v>MRL</v>
      </c>
      <c r="D57" s="5" t="str">
        <f>VLOOKUP($A57, 'Job Data'!$A$2:$P$220,3, FALSE)</f>
        <v>Mt Marion</v>
      </c>
      <c r="E57" s="5" t="str">
        <f>VLOOKUP($A57, 'Job Data'!$A$2:$P$220,14, FALSE)</f>
        <v>AQ0051 WHIMS Protection LIMS</v>
      </c>
      <c r="F57" s="1" t="str">
        <f>VLOOKUP($A57, 'Job Data'!$A$2:$P$220,15, FALSE)</f>
        <v>C:\Users\wubia\OneDrive - Longi Magnet Australia Pty ltd\Documents - Longi Australia\03 Project Management\Client\MRL\Mt Marion\AQ0051 WHIMS Protection LIMS</v>
      </c>
      <c r="G57" s="16" t="str">
        <f t="shared" si="0"/>
        <v>Open Project Folder</v>
      </c>
      <c r="H57" s="1"/>
    </row>
    <row r="58" spans="1:8" ht="24.65" customHeight="1">
      <c r="A58" s="24" t="s">
        <v>708</v>
      </c>
      <c r="B58" s="24">
        <v>1</v>
      </c>
      <c r="C58" s="5" t="str">
        <f>VLOOKUP($A58, 'Job Data'!$A$2:$P$220,2, FALSE)</f>
        <v>Mayur</v>
      </c>
      <c r="D58" s="5" t="str">
        <f>VLOOKUP($A58, 'Job Data'!$A$2:$P$220,3, FALSE)</f>
        <v>Orokolo_Bay</v>
      </c>
      <c r="E58" s="5" t="str">
        <f>VLOOKUP($A58, 'Job Data'!$A$2:$P$220,14, FALSE)</f>
        <v>AQ0052 RFQ-004 LIMS</v>
      </c>
      <c r="F58" s="1" t="str">
        <f>VLOOKUP($A58, 'Job Data'!$A$2:$P$220,15, FALSE)</f>
        <v>C:\Users\wubia\OneDrive - Longi Magnet Australia Pty ltd\Documents - Longi Australia\03 Project Management\Client\Mayur\Orokolo_Bay\AQ0052 RFQ-004 LIMS</v>
      </c>
      <c r="G58" s="16" t="str">
        <f t="shared" si="0"/>
        <v>Open Project Folder</v>
      </c>
      <c r="H58" s="1"/>
    </row>
    <row r="59" spans="1:8" ht="24.65" customHeight="1">
      <c r="A59" s="24" t="s">
        <v>698</v>
      </c>
      <c r="B59" s="24">
        <v>1</v>
      </c>
      <c r="C59" s="5" t="str">
        <f>VLOOKUP($A59, 'Job Data'!$A$2:$P$220,2, FALSE)</f>
        <v>FMG</v>
      </c>
      <c r="D59" s="5" t="str">
        <f>VLOOKUP($A59, 'Job Data'!$A$2:$P$220,3, FALSE)</f>
        <v>Iron Bridge</v>
      </c>
      <c r="E59" s="5" t="str">
        <f>VLOOKUP($A59, 'Job Data'!$A$2:$P$220,14, FALSE)</f>
        <v>AQ0053 Dry Magnetic Separation Drum Replacement</v>
      </c>
      <c r="F59" s="1" t="str">
        <f>VLOOKUP($A59, 'Job Data'!$A$2:$P$220,15, FALSE)</f>
        <v>C:\Users\wubia\OneDrive - Longi Magnet Australia Pty ltd\Documents - Longi Australia\03 Project Management\Client\FMG\Iron Bridge\AQ0053 Dry Magnetic Separation Drum Replacement</v>
      </c>
      <c r="G59" s="16" t="str">
        <f t="shared" si="0"/>
        <v>Open Project Folder</v>
      </c>
      <c r="H59" s="1"/>
    </row>
    <row r="60" spans="1:8" ht="24.65" customHeight="1">
      <c r="A60" s="24" t="s">
        <v>581</v>
      </c>
      <c r="B60" s="24">
        <v>1</v>
      </c>
      <c r="C60" s="5" t="str">
        <f>VLOOKUP($A60, 'Job Data'!$A$2:$P$220,2, FALSE)</f>
        <v>MRL</v>
      </c>
      <c r="D60" s="5" t="str">
        <f>VLOOKUP($A60, 'Job Data'!$A$2:$P$220,3, FALSE)</f>
        <v>Wodgina</v>
      </c>
      <c r="E60" s="5" t="str">
        <f>VLOOKUP($A60, 'Job Data'!$A$2:$P$220,14, FALSE)</f>
        <v>AQ0054 RFP - PP007 - MRL3468 MS (LIMS) - Train 4</v>
      </c>
      <c r="F60" s="1" t="str">
        <f>VLOOKUP($A60, 'Job Data'!$A$2:$P$220,15, FALSE)</f>
        <v>C:\Users\wubia\OneDrive - Longi Magnet Australia Pty ltd\Documents - Longi Australia\03 Project Management\Client\MRL\Wodgina\AQ0054 RFP - PP007 - MRL3468 MS (LIMS) - Train 4</v>
      </c>
      <c r="G60" s="16" t="str">
        <f t="shared" si="0"/>
        <v>Open Project Folder</v>
      </c>
      <c r="H60" s="1"/>
    </row>
    <row r="61" spans="1:8" ht="24.65" customHeight="1">
      <c r="A61" s="24" t="s">
        <v>582</v>
      </c>
      <c r="B61" s="24">
        <v>1</v>
      </c>
      <c r="C61" s="5" t="str">
        <f>VLOOKUP($A61, 'Job Data'!$A$2:$P$220,2, FALSE)</f>
        <v>MRL</v>
      </c>
      <c r="D61" s="5" t="str">
        <f>VLOOKUP($A61, 'Job Data'!$A$2:$P$220,3, FALSE)</f>
        <v>Wodgina</v>
      </c>
      <c r="E61" s="5" t="str">
        <f>VLOOKUP($A61, 'Job Data'!$A$2:$P$220,14, FALSE)</f>
        <v>AQ0055 RFP - PP007 - MRL3468 MS (WHIMS) - Train 4</v>
      </c>
      <c r="F61" s="1" t="str">
        <f>VLOOKUP($A61, 'Job Data'!$A$2:$P$220,15, FALSE)</f>
        <v>C:\Users\wubia\OneDrive - Longi Magnet Australia Pty ltd\Documents - Longi Australia\03 Project Management\Client\MRL\Wodgina\AQ0055 RFP - PP007 - MRL3468 MS (WHIMS) - Train 4</v>
      </c>
      <c r="G61" s="16" t="str">
        <f t="shared" si="0"/>
        <v>Open Project Folder</v>
      </c>
      <c r="H61" s="1"/>
    </row>
    <row r="62" spans="1:8" ht="24.65" customHeight="1">
      <c r="A62" s="24" t="s">
        <v>583</v>
      </c>
      <c r="B62" s="24">
        <v>1</v>
      </c>
      <c r="C62" s="5" t="str">
        <f>VLOOKUP($A62, 'Job Data'!$A$2:$P$220,2, FALSE)</f>
        <v>MRL</v>
      </c>
      <c r="D62" s="5" t="str">
        <f>VLOOKUP($A62, 'Job Data'!$A$2:$P$220,3, FALSE)</f>
        <v>Wodgina</v>
      </c>
      <c r="E62" s="5" t="str">
        <f>VLOOKUP($A62, 'Job Data'!$A$2:$P$220,14, FALSE)</f>
        <v>AQ0056 RFP - PP007 - MRL3468 MS (LIMS) - Train 4</v>
      </c>
      <c r="F62" s="1" t="str">
        <f>VLOOKUP($A62, 'Job Data'!$A$2:$P$220,15, FALSE)</f>
        <v>C:\Users\wubia\OneDrive - Longi Magnet Australia Pty ltd\Documents - Longi Australia\03 Project Management\Client\FMG\Kings\AC0022 KV Tails Scavenging Testwork</v>
      </c>
      <c r="G62" s="16" t="str">
        <f t="shared" si="0"/>
        <v>Open Project Folder</v>
      </c>
      <c r="H62" s="1"/>
    </row>
    <row r="63" spans="1:8" ht="24.65" customHeight="1">
      <c r="A63" s="24" t="s">
        <v>584</v>
      </c>
      <c r="B63" s="24">
        <v>1</v>
      </c>
      <c r="C63" s="5" t="str">
        <f>VLOOKUP($A63, 'Job Data'!$A$2:$P$220,2, FALSE)</f>
        <v>MRL</v>
      </c>
      <c r="D63" s="5" t="str">
        <f>VLOOKUP($A63, 'Job Data'!$A$2:$P$220,3, FALSE)</f>
        <v>Mt Marion</v>
      </c>
      <c r="E63" s="5" t="str">
        <f>VLOOKUP($A63, 'Job Data'!$A$2:$P$220,14, FALSE)</f>
        <v>AQ0057 Fine Flotation Study</v>
      </c>
      <c r="F63" s="1" t="str">
        <f>VLOOKUP($A63, 'Job Data'!$A$2:$P$220,15, FALSE)</f>
        <v>C:\Users\wubia\OneDrive - Longi Magnet Australia Pty ltd\Documents - Longi Australia\03 Project Management\Client\MRL\Mt Marion\AQ0057 Fine Flotation Study</v>
      </c>
      <c r="G63" s="16" t="str">
        <f t="shared" si="0"/>
        <v>Open Project Folder</v>
      </c>
      <c r="H63" s="1"/>
    </row>
    <row r="64" spans="1:8" ht="24.65" customHeight="1">
      <c r="A64" s="24" t="s">
        <v>585</v>
      </c>
      <c r="B64" s="24">
        <v>1</v>
      </c>
      <c r="C64" s="5" t="str">
        <f>VLOOKUP($A64, 'Job Data'!$A$2:$P$220,2, FALSE)</f>
        <v>Riotinto</v>
      </c>
      <c r="D64" s="5" t="str">
        <f>VLOOKUP($A64, 'Job Data'!$A$2:$P$220,3, FALSE)</f>
        <v>Unknown</v>
      </c>
      <c r="E64" s="5" t="str">
        <f>VLOOKUP($A64, 'Job Data'!$A$2:$P$220,14, FALSE)</f>
        <v>AQ0058 Modular Concentrator Conceptual Study(FOC)</v>
      </c>
      <c r="F64" s="1" t="str">
        <f>VLOOKUP($A64, 'Job Data'!$A$2:$P$220,15, FALSE)</f>
        <v>C:\Users\wubia\OneDrive - Longi Magnet Australia Pty ltd\Documents - Longi Australia\03 Project Management\Client\Riotinto\Unknown\AQ0058 Modular Concentrator Conceptual Study(FOC)</v>
      </c>
      <c r="G64" s="16" t="str">
        <f t="shared" si="0"/>
        <v>Open Project Folder</v>
      </c>
      <c r="H64" s="1"/>
    </row>
    <row r="65" spans="1:8" ht="24.65" customHeight="1">
      <c r="A65" s="24" t="s">
        <v>709</v>
      </c>
      <c r="B65" s="24">
        <v>1</v>
      </c>
      <c r="C65" s="5" t="str">
        <f>VLOOKUP($A65, 'Job Data'!$A$2:$P$220,2, FALSE)</f>
        <v>LMA</v>
      </c>
      <c r="D65" s="5" t="str">
        <f>VLOOKUP($A65, 'Job Data'!$A$2:$P$220,3, FALSE)</f>
        <v>Warehouse</v>
      </c>
      <c r="E65" s="5" t="str">
        <f>VLOOKUP($A65, 'Job Data'!$A$2:$P$220,14, FALSE)</f>
        <v>AQ0059 LGS-100</v>
      </c>
      <c r="F65" s="1" t="str">
        <f>VLOOKUP($A65, 'Job Data'!$A$2:$P$220,15, FALSE)</f>
        <v>C:\Users\wubia\OneDrive - Longi Magnet Australia Pty ltd\Documents - Longi Australia\03 Project Management\Client\LMA\Warehouse\AQ0059 LGS-100</v>
      </c>
      <c r="G65" s="16" t="str">
        <f t="shared" si="0"/>
        <v>Open Project Folder</v>
      </c>
      <c r="H65" s="1"/>
    </row>
    <row r="66" spans="1:8" ht="24.65" customHeight="1">
      <c r="A66" s="24" t="s">
        <v>587</v>
      </c>
      <c r="B66" s="24">
        <v>1</v>
      </c>
      <c r="C66" s="5" t="str">
        <f>VLOOKUP($A66, 'Job Data'!$A$2:$P$220,2, FALSE)</f>
        <v>MRL</v>
      </c>
      <c r="D66" s="5" t="str">
        <f>VLOOKUP($A66, 'Job Data'!$A$2:$P$220,3, FALSE)</f>
        <v>Mauritania</v>
      </c>
      <c r="E66" s="5" t="str">
        <f>VLOOKUP($A66, 'Job Data'!$A$2:$P$220,14, FALSE)</f>
        <v>AQ0060 El Aouj Project in Mauritania</v>
      </c>
      <c r="F66" s="1" t="str">
        <f>VLOOKUP($A66, 'Job Data'!$A$2:$P$220,15, FALSE)</f>
        <v>C:\Users\wubia\OneDrive - Longi Magnet Australia Pty ltd\Documents - Longi Australia\03 Project Management\Client\MRL\Mauritania\AQ0060 El Aouj Project in Mauritania</v>
      </c>
      <c r="G66" s="16" t="str">
        <f t="shared" si="0"/>
        <v>Open Project Folder</v>
      </c>
      <c r="H66" s="1"/>
    </row>
    <row r="67" spans="1:8" ht="24.65" customHeight="1">
      <c r="A67" s="24" t="s">
        <v>710</v>
      </c>
      <c r="B67" s="24">
        <v>1</v>
      </c>
      <c r="C67" s="5" t="str">
        <f>VLOOKUP($A67, 'Job Data'!$A$2:$P$220,2, FALSE)</f>
        <v>Allup_Silica</v>
      </c>
      <c r="D67" s="5" t="str">
        <f>VLOOKUP($A67, 'Job Data'!$A$2:$P$220,3, FALSE)</f>
        <v>McLaren_Project</v>
      </c>
      <c r="E67" s="5" t="str">
        <f>VLOOKUP($A67, 'Job Data'!$A$2:$P$220,14, FALSE)</f>
        <v>AQ0061 LIMS(IHC JN561)</v>
      </c>
      <c r="F67" s="1" t="str">
        <f>VLOOKUP($A67, 'Job Data'!$A$2:$P$220,15, FALSE)</f>
        <v>C:\Users\wubia\OneDrive - Longi Magnet Australia Pty ltd\Documents - Longi Australia\03 Project Management\Client\Allup_Silica\McLaren_Project\AQ0061 LIMS(IHC JN561)</v>
      </c>
      <c r="G67" s="16" t="str">
        <f t="shared" si="0"/>
        <v>Open Project Folder</v>
      </c>
      <c r="H67" s="1"/>
    </row>
    <row r="68" spans="1:8" ht="24.65" customHeight="1">
      <c r="A68" s="24" t="s">
        <v>588</v>
      </c>
      <c r="B68" s="24">
        <v>1</v>
      </c>
      <c r="C68" s="5" t="str">
        <f>VLOOKUP($A68, 'Job Data'!$A$2:$P$220,2, FALSE)</f>
        <v>MRL</v>
      </c>
      <c r="D68" s="5" t="str">
        <f>VLOOKUP($A68, 'Job Data'!$A$2:$P$220,3, FALSE)</f>
        <v>TBA</v>
      </c>
      <c r="E68" s="5" t="str">
        <f>VLOOKUP($A68, 'Job Data'!$A$2:$P$220,14, FALSE)</f>
        <v>AQ0062 Stationary Tramp Iron Magnet</v>
      </c>
      <c r="F68" s="1" t="str">
        <f>VLOOKUP($A68, 'Job Data'!$A$2:$P$220,15, FALSE)</f>
        <v>C:\Users\wubia\OneDrive - Longi Magnet Australia Pty ltd\Documents - Longi Australia\03 Project Management\Client\MRL\TBA\AQ0062 Stationary Tramp Iron Magnet</v>
      </c>
      <c r="G68" s="16" t="str">
        <f t="shared" si="0"/>
        <v>Open Project Folder</v>
      </c>
      <c r="H68" s="1"/>
    </row>
    <row r="69" spans="1:8" ht="24.65" customHeight="1">
      <c r="A69" s="24" t="s">
        <v>589</v>
      </c>
      <c r="B69" s="24">
        <v>1</v>
      </c>
      <c r="C69" s="5" t="str">
        <f>VLOOKUP($A69, 'Job Data'!$A$2:$P$220,2, FALSE)</f>
        <v>Glencore</v>
      </c>
      <c r="D69" s="5" t="str">
        <f>VLOOKUP($A69, 'Job Data'!$A$2:$P$220,3, FALSE)</f>
        <v xml:space="preserve">Ravensworth_Coal </v>
      </c>
      <c r="E69" s="5" t="str">
        <f>VLOOKUP($A69, 'Job Data'!$A$2:$P$220,14, FALSE)</f>
        <v>AQ0063 Replace MSR2301 and MSR3301</v>
      </c>
      <c r="F69" s="1" t="str">
        <f>VLOOKUP($A69, 'Job Data'!$A$2:$P$220,15, FALSE)</f>
        <v>C:\Users\wubia\OneDrive - Longi Magnet Australia Pty ltd\Documents - Longi Australia\03 Project Management\Client\Glencore\Ravensworth_Coal \AQ0063 Replace MSR2301 and MSR3301</v>
      </c>
      <c r="G69" s="16" t="str">
        <f t="shared" si="0"/>
        <v>Open Project Folder</v>
      </c>
      <c r="H69" s="1"/>
    </row>
    <row r="70" spans="1:8" ht="24.65" customHeight="1">
      <c r="A70" s="24" t="s">
        <v>700</v>
      </c>
      <c r="B70" s="24">
        <v>1</v>
      </c>
      <c r="C70" s="5" t="str">
        <f>VLOOKUP($A70, 'Job Data'!$A$2:$P$220,2, FALSE)</f>
        <v>FMG</v>
      </c>
      <c r="D70" s="5" t="str">
        <f>VLOOKUP($A70, 'Job Data'!$A$2:$P$220,3, FALSE)</f>
        <v>Iron Bridge</v>
      </c>
      <c r="E70" s="5" t="str">
        <f>VLOOKUP($A70, 'Job Data'!$A$2:$P$220,14, FALSE)</f>
        <v>AQ0064 LJK Package For CV301</v>
      </c>
      <c r="F70" s="1" t="str">
        <f>VLOOKUP($A70, 'Job Data'!$A$2:$P$220,15, FALSE)</f>
        <v>C:\Users\wubia\OneDrive - Longi Magnet Australia Pty ltd\Documents - Longi Australia\03 Project Management\Client\FMG\Iron Bridge\AQ0064 LJK Package For CV301</v>
      </c>
      <c r="G70" s="16" t="str">
        <f t="shared" si="0"/>
        <v>Open Project Folder</v>
      </c>
      <c r="H70" s="1"/>
    </row>
    <row r="71" spans="1:8" ht="24.65" customHeight="1">
      <c r="A71" s="24" t="s">
        <v>701</v>
      </c>
      <c r="B71" s="24">
        <v>1</v>
      </c>
      <c r="C71" s="5" t="str">
        <f>VLOOKUP($A71, 'Job Data'!$A$2:$P$220,2, FALSE)</f>
        <v>FMG</v>
      </c>
      <c r="D71" s="5" t="str">
        <f>VLOOKUP($A71, 'Job Data'!$A$2:$P$220,3, FALSE)</f>
        <v>Christmas Creek </v>
      </c>
      <c r="E71" s="5" t="str">
        <f>VLOOKUP($A71, 'Job Data'!$A$2:$P$220,14, FALSE)</f>
        <v>AQ0065 Green Steel Pilot Plant</v>
      </c>
      <c r="F71" s="1" t="str">
        <f>VLOOKUP($A71, 'Job Data'!$A$2:$P$220,15, FALSE)</f>
        <v>C:\Users\wubia\OneDrive - Longi Magnet Australia Pty ltd\Documents - Longi Australia\03 Project Management\Client\FMG\Christmas Creek \AQ0065 Green Steel Pilot Plant</v>
      </c>
      <c r="G71" s="16" t="str">
        <f t="shared" si="0"/>
        <v>Open Project Folder</v>
      </c>
      <c r="H71" s="1"/>
    </row>
    <row r="72" spans="1:8" ht="24.65" customHeight="1">
      <c r="A72" s="24" t="s">
        <v>590</v>
      </c>
      <c r="B72" s="24">
        <v>1</v>
      </c>
      <c r="C72" s="5" t="str">
        <f>VLOOKUP($A72, 'Job Data'!$A$2:$P$220,2, FALSE)</f>
        <v>Bravus_Mining&amp;Resuroces</v>
      </c>
      <c r="D72" s="5" t="str">
        <f>VLOOKUP($A72, 'Job Data'!$A$2:$P$220,3, FALSE)</f>
        <v>Carmichael</v>
      </c>
      <c r="E72" s="5" t="str">
        <f>VLOOKUP($A72, 'Job Data'!$A$2:$P$220,14, FALSE)</f>
        <v xml:space="preserve">AQ0066 HMDS Drum </v>
      </c>
      <c r="F72" s="1" t="str">
        <f>VLOOKUP($A72, 'Job Data'!$A$2:$P$220,15, FALSE)</f>
        <v xml:space="preserve">C:\Users\wubia\OneDrive - Longi Magnet Australia Pty ltd\Documents - Longi Australia\03 Project Management\Client\Bravus_Mining&amp;Resuroces\Carmichael\AQ0066 HMDS Drum </v>
      </c>
      <c r="G72" s="16" t="str">
        <f t="shared" ref="G72:G124" si="1">HYPERLINK(SUBSTITUTE(SUBSTITUTE(F72, "C:\Users\wubia\OneDrive - Longi Magnet Australia Pty ltd\Documents - Longi Australia", "C:\Users\lzx15\Longi Magnet Australia Pty ltd\Longi Australia - Documents"), "\\", "\\"),"Open Project Folder")</f>
        <v>Open Project Folder</v>
      </c>
      <c r="H72" s="1"/>
    </row>
    <row r="73" spans="1:8" ht="24.65" customHeight="1">
      <c r="A73" s="24" t="s">
        <v>591</v>
      </c>
      <c r="B73" s="24">
        <v>1</v>
      </c>
      <c r="C73" s="5" t="str">
        <f>VLOOKUP($A73, 'Job Data'!$A$2:$P$220,2, FALSE)</f>
        <v xml:space="preserve">Huntore_Australia </v>
      </c>
      <c r="D73" s="5" t="str">
        <f>VLOOKUP($A73, 'Job Data'!$A$2:$P$220,3, FALSE)</f>
        <v xml:space="preserve">Mt_Veteran </v>
      </c>
      <c r="E73" s="5" t="str">
        <f>VLOOKUP($A73, 'Job Data'!$A$2:$P$220,14, FALSE)</f>
        <v>AQ0067  Process Plant Reinstatement Project</v>
      </c>
      <c r="F73" s="1" t="str">
        <f>VLOOKUP($A73, 'Job Data'!$A$2:$P$220,15, FALSE)</f>
        <v>C:\Users\wubia\OneDrive - Longi Magnet Australia Pty ltd\Documents - Longi Australia\03 Project Management\Client\Huntore_Australia\Mt_Veteran\AQ0067  Process Plant Reinstatement Project</v>
      </c>
      <c r="G73" s="16" t="str">
        <f t="shared" si="1"/>
        <v>Open Project Folder</v>
      </c>
      <c r="H73" s="1"/>
    </row>
    <row r="74" spans="1:8" ht="24.65" customHeight="1">
      <c r="A74" s="24" t="s">
        <v>592</v>
      </c>
      <c r="B74" s="24">
        <v>1</v>
      </c>
      <c r="C74" s="5" t="str">
        <f>VLOOKUP($A74, 'Job Data'!$A$2:$P$220,2, FALSE)</f>
        <v>Delta_Lithium</v>
      </c>
      <c r="D74" s="5" t="str">
        <f>VLOOKUP($A74, 'Job Data'!$A$2:$P$220,3, FALSE)</f>
        <v>Yinnetharra</v>
      </c>
      <c r="E74" s="5" t="str">
        <f>VLOOKUP($A74, 'Job Data'!$A$2:$P$220,14, FALSE)</f>
        <v>AQ0068 Yinnetharra Project PFS-LIMS</v>
      </c>
      <c r="F74" s="1" t="str">
        <f>VLOOKUP($A74, 'Job Data'!$A$2:$P$220,15, FALSE)</f>
        <v>C:\Users\wubia\OneDrive - Longi Magnet Australia Pty ltd\Documents - Longi Australia\03 Project Management\Client\Delta_Lithium\Yinnetharra\AQ0068 Yinnetharra Project PFS-LIMS</v>
      </c>
      <c r="G74" s="16" t="str">
        <f t="shared" si="1"/>
        <v>Open Project Folder</v>
      </c>
      <c r="H74" s="1"/>
    </row>
    <row r="75" spans="1:8" ht="24.65" customHeight="1">
      <c r="A75" s="24" t="s">
        <v>724</v>
      </c>
      <c r="B75" s="24">
        <v>1</v>
      </c>
      <c r="C75" s="5" t="str">
        <f>VLOOKUP($A75, 'Job Data'!$A$2:$P$220,2, FALSE)</f>
        <v>SIMEC</v>
      </c>
      <c r="D75" s="5" t="str">
        <f>VLOOKUP($A75, 'Job Data'!$A$2:$P$220,3, FALSE)</f>
        <v>MEP 1</v>
      </c>
      <c r="E75" s="5" t="str">
        <f>VLOOKUP($A75, 'Job Data'!$A$2:$P$220,14, FALSE)</f>
        <v>AQ0069 DIMS LJK Tramp Magnet Package</v>
      </c>
      <c r="F75" s="1" t="str">
        <f>VLOOKUP($A75, 'Job Data'!$A$2:$P$220,15, FALSE)</f>
        <v>C:\Users\wubia\OneDrive - Longi Magnet Australia Pty ltd\Documents - Longi Australia\03 Project Management\Client\SIMEC\MEP 1\AQ0069 DIMS LJK Tramp Magnet Package</v>
      </c>
      <c r="G75" s="16" t="str">
        <f t="shared" si="1"/>
        <v>Open Project Folder</v>
      </c>
      <c r="H75" s="1"/>
    </row>
    <row r="76" spans="1:8" ht="24.65" customHeight="1">
      <c r="A76" s="24" t="s">
        <v>719</v>
      </c>
      <c r="B76" s="24">
        <v>1</v>
      </c>
      <c r="C76" s="5" t="str">
        <f>VLOOKUP($A76, 'Job Data'!$A$2:$P$220,2, FALSE)</f>
        <v>Northern_Mineral</v>
      </c>
      <c r="D76" s="5" t="str">
        <f>VLOOKUP($A76, 'Job Data'!$A$2:$P$220,3, FALSE)</f>
        <v>Browns_Range</v>
      </c>
      <c r="E76" s="5" t="str">
        <f>VLOOKUP($A76, 'Job Data'!$A$2:$P$220,14, FALSE)</f>
        <v>AQ0070 Heavy Rare Earth Project  HGMS (CP085)</v>
      </c>
      <c r="F76" s="1" t="str">
        <f>VLOOKUP($A76, 'Job Data'!$A$2:$P$220,15, FALSE)</f>
        <v>C:\Users\wubia\OneDrive - Longi Magnet Australia Pty ltd\Documents - Longi Australia\03 Project Management\Client\Northern_Mineral\Browns_Range\AQ0070 Heavy Rare Earth Project  HGMS (CP085)</v>
      </c>
      <c r="G76" s="16" t="str">
        <f t="shared" si="1"/>
        <v>Open Project Folder</v>
      </c>
      <c r="H76" s="1"/>
    </row>
    <row r="77" spans="1:8" ht="24.65" customHeight="1">
      <c r="A77" s="24" t="s">
        <v>711</v>
      </c>
      <c r="B77" s="24">
        <v>1</v>
      </c>
      <c r="C77" s="5" t="str">
        <f>VLOOKUP($A77, 'Job Data'!$A$2:$P$220,2, FALSE)</f>
        <v>Aurora_Construction_Materials</v>
      </c>
      <c r="D77" s="5" t="str">
        <f>VLOOKUP($A77, 'Job Data'!$A$2:$P$220,3, FALSE)</f>
        <v>Quarry</v>
      </c>
      <c r="E77" s="5" t="str">
        <f>VLOOKUP($A77, 'Job Data'!$A$2:$P$220,14, FALSE)</f>
        <v>AQ0071 Static Magnet</v>
      </c>
      <c r="F77" s="1" t="str">
        <f>VLOOKUP($A77, 'Job Data'!$A$2:$P$220,15, FALSE)</f>
        <v>C:\Users\wubia\OneDrive - Longi Magnet Australia Pty ltd\Documents - Longi Australia\03 Project Management\Client\Aurora_Construction_Materials\Quarry\AQ0071 Static Magnet</v>
      </c>
      <c r="G77" s="16" t="str">
        <f t="shared" si="1"/>
        <v>Open Project Folder</v>
      </c>
      <c r="H77" s="1"/>
    </row>
    <row r="78" spans="1:8" ht="24.65" customHeight="1">
      <c r="A78" s="24" t="s">
        <v>712</v>
      </c>
      <c r="B78" s="24">
        <v>1</v>
      </c>
      <c r="C78" s="5" t="str">
        <f>VLOOKUP($A78, 'Job Data'!$A$2:$P$220,2, FALSE)</f>
        <v>Talison</v>
      </c>
      <c r="D78" s="5" t="str">
        <f>VLOOKUP($A78, 'Job Data'!$A$2:$P$220,3, FALSE)</f>
        <v>Greenbush</v>
      </c>
      <c r="E78" s="5" t="str">
        <f>VLOOKUP($A78, 'Job Data'!$A$2:$P$220,14, FALSE)</f>
        <v>AQ0072 CGP3 spares</v>
      </c>
      <c r="F78" s="1" t="str">
        <f>VLOOKUP($A78, 'Job Data'!$A$2:$P$220,15, FALSE)</f>
        <v>C:\Users\wubia\OneDrive - Longi Magnet Australia Pty ltd\Documents - Longi Australia\03 Project Management\Client\Talison\Greenbush\AQ0072 CGP3 spares</v>
      </c>
      <c r="G78" s="16" t="str">
        <f t="shared" si="1"/>
        <v>Open Project Folder</v>
      </c>
      <c r="H78" s="1"/>
    </row>
    <row r="79" spans="1:8" ht="24.65" customHeight="1">
      <c r="A79" s="24" t="s">
        <v>713</v>
      </c>
      <c r="B79" s="24">
        <v>1</v>
      </c>
      <c r="C79" s="5" t="str">
        <f>VLOOKUP($A79, 'Job Data'!$A$2:$P$220,2, FALSE)</f>
        <v xml:space="preserve"> Savannah_Resources</v>
      </c>
      <c r="D79" s="5" t="str">
        <f>VLOOKUP($A79, 'Job Data'!$A$2:$P$220,3, FALSE)</f>
        <v>Barroso Lithium Project(Portugal)</v>
      </c>
      <c r="E79" s="5" t="str">
        <f>VLOOKUP($A79, 'Job Data'!$A$2:$P$220,14, FALSE)</f>
        <v>AQ0073 B069-D02-07280-RQ-0001(WHIMS &amp; LIMS)</v>
      </c>
      <c r="F79" s="1" t="str">
        <f>VLOOKUP($A79, 'Job Data'!$A$2:$P$220,15, FALSE)</f>
        <v>C:\Users\wubia\OneDrive - Longi Magnet Australia Pty ltd\Documents - Longi Australia\03 Project Management\Client\ Savannah_Resources\Barroso Lithium Project(Portugal)\AQ0073 B069-D02-07280-RQ-0001(WHIMS &amp; LIMS)</v>
      </c>
      <c r="G79" s="16" t="str">
        <f t="shared" si="1"/>
        <v>Open Project Folder</v>
      </c>
      <c r="H79" s="1"/>
    </row>
    <row r="80" spans="1:8" ht="24.65" customHeight="1">
      <c r="A80" s="24" t="s">
        <v>715</v>
      </c>
      <c r="B80" s="24">
        <v>1</v>
      </c>
      <c r="C80" s="5" t="str">
        <f>VLOOKUP($A80, 'Job Data'!$A$2:$P$220,2, FALSE)</f>
        <v>MRL</v>
      </c>
      <c r="D80" s="5" t="str">
        <f>VLOOKUP($A80, 'Job Data'!$A$2:$P$220,3, FALSE)</f>
        <v>Mauritania</v>
      </c>
      <c r="E80" s="5" t="str">
        <f>VLOOKUP($A80, 'Job Data'!$A$2:$P$220,14, FALSE)</f>
        <v xml:space="preserve">AQ0074 El Aouj Project LJK </v>
      </c>
      <c r="F80" s="1" t="str">
        <f>VLOOKUP($A80, 'Job Data'!$A$2:$P$220,15, FALSE)</f>
        <v xml:space="preserve">C:\Users\wubia\OneDrive - Longi Magnet Australia Pty ltd\Documents - Longi Australia\03 Project Management\Client\MRL\Mauritania\AQ0074 El Aouj Project LJK </v>
      </c>
      <c r="G80" s="16" t="str">
        <f t="shared" si="1"/>
        <v>Open Project Folder</v>
      </c>
      <c r="H80" s="1"/>
    </row>
    <row r="81" spans="1:8" ht="24.65" customHeight="1">
      <c r="A81" s="24" t="s">
        <v>725</v>
      </c>
      <c r="B81" s="24">
        <v>1</v>
      </c>
      <c r="C81" s="5" t="str">
        <f>VLOOKUP($A81, 'Job Data'!$A$2:$P$220,2, FALSE)</f>
        <v>Grange</v>
      </c>
      <c r="D81" s="5" t="str">
        <f>VLOOKUP($A81, 'Job Data'!$A$2:$P$220,3, FALSE)</f>
        <v>Savage River</v>
      </c>
      <c r="E81" s="5" t="str">
        <f>VLOOKUP($A81, 'Job Data'!$A$2:$P$220,14, FALSE)</f>
        <v>AQ0075 LJC300 Modelar Plant Trial</v>
      </c>
      <c r="F81" s="1" t="str">
        <f>VLOOKUP($A81, 'Job Data'!$A$2:$P$220,15, FALSE)</f>
        <v>C:\Users\wubia\OneDrive - Longi Magnet Australia Pty ltd\Documents - Longi Australia\03 Project Management\Client\Grange\Savage River\AQ0075 LJC300 Modelar Plant Trial</v>
      </c>
      <c r="G81" s="16" t="str">
        <f t="shared" si="1"/>
        <v>Open Project Folder</v>
      </c>
      <c r="H81" s="1"/>
    </row>
    <row r="82" spans="1:8" ht="24.65" customHeight="1">
      <c r="A82" s="24" t="s">
        <v>720</v>
      </c>
      <c r="B82" s="24">
        <v>1</v>
      </c>
      <c r="C82" s="5" t="str">
        <f>VLOOKUP($A82, 'Job Data'!$A$2:$P$220,2, FALSE)</f>
        <v>Iondrive</v>
      </c>
      <c r="D82" s="5" t="str">
        <f>VLOOKUP($A82, 'Job Data'!$A$2:$P$220,3, FALSE)</f>
        <v>Pretreatment Facility</v>
      </c>
      <c r="E82" s="5" t="str">
        <f>VLOOKUP($A82, 'Job Data'!$A$2:$P$220,14, FALSE)</f>
        <v>AQ0076 Low capacity LIMS units</v>
      </c>
      <c r="F82" s="1" t="str">
        <f>VLOOKUP($A82, 'Job Data'!$A$2:$P$220,15, FALSE)</f>
        <v>C:\Users\wubia\OneDrive - Longi Magnet Australia Pty ltd\Documents - Longi Australia\03 Project Management\Client\Iondrive\Pretreatment Facility\AQ0076 Low capacity LIMS units</v>
      </c>
      <c r="G82" s="16" t="str">
        <f t="shared" si="1"/>
        <v>Open Project Folder</v>
      </c>
      <c r="H82" s="1"/>
    </row>
    <row r="83" spans="1:8" ht="24.65" customHeight="1">
      <c r="A83" s="24" t="s">
        <v>726</v>
      </c>
      <c r="B83" s="24">
        <v>1</v>
      </c>
      <c r="C83" s="5" t="str">
        <f>VLOOKUP($A83, 'Job Data'!$A$2:$P$220,2, FALSE)</f>
        <v>Cockatoo_Island_Mining</v>
      </c>
      <c r="D83" s="5" t="str">
        <f>VLOOKUP($A83, 'Job Data'!$A$2:$P$220,3, FALSE)</f>
        <v>Cockatoo_Island</v>
      </c>
      <c r="E83" s="5" t="str">
        <f>VLOOKUP($A83, 'Job Data'!$A$2:$P$220,14, FALSE)</f>
        <v>AQ0077 High Strength Dry Mag Separation Mod Plant</v>
      </c>
      <c r="F83" s="1" t="str">
        <f>VLOOKUP($A83, 'Job Data'!$A$2:$P$220,15, FALSE)</f>
        <v>C:\Users\wubia\OneDrive - Longi Magnet Australia Pty ltd\Documents - Longi Australia\03 Project Management\Client\Cockatoo_Island_Mining\Cockatoo_Island\AQ0077 High Strength Dry Mag Separation Mod Plant</v>
      </c>
      <c r="G83" s="16" t="str">
        <f t="shared" si="1"/>
        <v>Open Project Folder</v>
      </c>
      <c r="H83" s="1"/>
    </row>
    <row r="84" spans="1:8" ht="24.65" customHeight="1">
      <c r="A84" s="24" t="s">
        <v>714</v>
      </c>
      <c r="B84" s="24">
        <v>1</v>
      </c>
      <c r="C84" s="5" t="str">
        <f>VLOOKUP($A84, 'Job Data'!$A$2:$P$220,2, FALSE)</f>
        <v>MRL</v>
      </c>
      <c r="D84" s="5" t="str">
        <f>VLOOKUP($A84, 'Job Data'!$A$2:$P$220,3, FALSE)</f>
        <v>Mt Marion</v>
      </c>
      <c r="E84" s="5" t="str">
        <f>VLOOKUP($A84, 'Job Data'!$A$2:$P$220,14, FALSE)</f>
        <v>AQ0078 HDMS Drum Assembly</v>
      </c>
      <c r="F84" s="1" t="str">
        <f>VLOOKUP($A84, 'Job Data'!$A$2:$P$220,15, FALSE)</f>
        <v>C:\Users\wubia\OneDrive - Longi Magnet Australia Pty ltd\Documents - Longi Australia\03 Project Management\Client\MRL\Mt Marion\AQ0078 HDMS Drum Assembly</v>
      </c>
      <c r="G84" s="16" t="str">
        <f t="shared" si="1"/>
        <v>Open Project Folder</v>
      </c>
      <c r="H84" s="1"/>
    </row>
    <row r="85" spans="1:8" ht="24.65" customHeight="1">
      <c r="A85" s="24" t="s">
        <v>727</v>
      </c>
      <c r="B85" s="24">
        <v>1</v>
      </c>
      <c r="C85" s="5" t="str">
        <f>VLOOKUP($A85, 'Job Data'!$A$2:$P$220,2, FALSE)</f>
        <v>BV</v>
      </c>
      <c r="D85" s="5" t="str">
        <f>VLOOKUP($A85, 'Job Data'!$A$2:$P$220,3, FALSE)</f>
        <v>BV Perth</v>
      </c>
      <c r="E85" s="5" t="str">
        <f>VLOOKUP($A85, 'Job Data'!$A$2:$P$220,14, FALSE)</f>
        <v>AQ0079 Demag-Coil</v>
      </c>
      <c r="F85" s="1" t="str">
        <f>VLOOKUP($A85, 'Job Data'!$A$2:$P$220,15, FALSE)</f>
        <v>C:\Users\wubia\OneDrive - Longi Magnet Australia Pty ltd\Documents - Longi Australia\03 Project Management\Client\BV\BV Perth\AQ0079 Demag-Coil</v>
      </c>
      <c r="G85" s="16" t="str">
        <f t="shared" si="1"/>
        <v>Open Project Folder</v>
      </c>
      <c r="H85" s="1"/>
    </row>
    <row r="86" spans="1:8" ht="24.65" customHeight="1">
      <c r="A86" s="24" t="s">
        <v>717</v>
      </c>
      <c r="B86" s="24">
        <v>1</v>
      </c>
      <c r="C86" s="5" t="str">
        <f>VLOOKUP($A86, 'Job Data'!$A$2:$P$220,2, FALSE)</f>
        <v>FMG</v>
      </c>
      <c r="D86" s="5" t="str">
        <f>VLOOKUP($A86, 'Job Data'!$A$2:$P$220,3, FALSE)</f>
        <v>Dragon</v>
      </c>
      <c r="E86" s="5" t="str">
        <f>VLOOKUP($A86, 'Job Data'!$A$2:$P$220,14, FALSE)</f>
        <v>AQ0080 Tramp Magnet and Metal Detector</v>
      </c>
      <c r="F86" s="1" t="str">
        <f>VLOOKUP($A86, 'Job Data'!$A$2:$P$220,15, FALSE)</f>
        <v>C:\Users\wubia\OneDrive - Longi Magnet Australia Pty ltd\Documents - Longi Australia\03 Project Management\Client\FMG\Dragon\AQ0080 Tramp Magnet and Metal Detector</v>
      </c>
      <c r="G86" s="16" t="str">
        <f t="shared" si="1"/>
        <v>Open Project Folder</v>
      </c>
      <c r="H86" s="1"/>
    </row>
    <row r="87" spans="1:8" ht="24.65" customHeight="1">
      <c r="A87" s="24" t="s">
        <v>722</v>
      </c>
      <c r="B87" s="24">
        <v>1</v>
      </c>
      <c r="C87" s="5" t="str">
        <f>VLOOKUP($A87, 'Job Data'!$A$2:$P$220,2, FALSE)</f>
        <v>Norton</v>
      </c>
      <c r="D87" s="5" t="str">
        <f>VLOOKUP($A87, 'Job Data'!$A$2:$P$220,3, FALSE)</f>
        <v>Binduli</v>
      </c>
      <c r="E87" s="5" t="str">
        <f>VLOOKUP($A87, 'Job Data'!$A$2:$P$220,14, FALSE)</f>
        <v>AQ0081 Upgrade Tramp Magnets Assembly Binduli</v>
      </c>
      <c r="F87" s="1" t="str">
        <f>VLOOKUP($A87, 'Job Data'!$A$2:$P$220,15, FALSE)</f>
        <v>C:\Users\wubia\OneDrive - Longi Magnet Australia Pty ltd\Documents - Longi Australia\03 Project Management\Client\Norton\Binduli\AQ0081 Upgrade Tramp Magnets Assembly Binduli</v>
      </c>
      <c r="G87" s="16" t="str">
        <f t="shared" si="1"/>
        <v>Open Project Folder</v>
      </c>
      <c r="H87" s="1"/>
    </row>
    <row r="88" spans="1:8" ht="24.65" customHeight="1">
      <c r="A88" s="24" t="s">
        <v>723</v>
      </c>
      <c r="B88" s="24">
        <v>1</v>
      </c>
      <c r="C88" s="5" t="str">
        <f>VLOOKUP($A88, 'Job Data'!$A$2:$P$220,2, FALSE)</f>
        <v>Norton</v>
      </c>
      <c r="D88" s="5" t="str">
        <f>VLOOKUP($A88, 'Job Data'!$A$2:$P$220,3, FALSE)</f>
        <v>Binduli</v>
      </c>
      <c r="E88" s="5" t="str">
        <f>VLOOKUP($A88, 'Job Data'!$A$2:$P$220,14, FALSE)</f>
        <v>AQ0082 One-off Discount to Support MG201 Replacement</v>
      </c>
      <c r="F88" s="1" t="str">
        <f>VLOOKUP($A88, 'Job Data'!$A$2:$P$220,15, FALSE)</f>
        <v>C:\Users\wubia\OneDrive - Longi Magnet Australia Pty ltd\Documents - Longi Australia\03 Project Management\Client\Norton\Binduli\AQ0082 One-off Discount to Support MG201 Replacement</v>
      </c>
      <c r="G88" s="16" t="str">
        <f t="shared" si="1"/>
        <v>Open Project Folder</v>
      </c>
      <c r="H88" s="1"/>
    </row>
    <row r="89" spans="1:8" ht="24.65" customHeight="1">
      <c r="A89" s="24" t="s">
        <v>728</v>
      </c>
      <c r="B89" s="24">
        <v>1</v>
      </c>
      <c r="C89" s="5" t="str">
        <f>VLOOKUP($A89, 'Job Data'!$A$2:$P$220,2, FALSE)</f>
        <v>Terra_mining</v>
      </c>
      <c r="D89" s="5" t="str">
        <f>VLOOKUP($A89, 'Job Data'!$A$2:$P$220,3, FALSE)</f>
        <v>Extension Hill</v>
      </c>
      <c r="E89" s="5" t="str">
        <f>VLOOKUP($A89, 'Job Data'!$A$2:$P$220,14, FALSE)</f>
        <v>AQ0083  DMS Replacement Unit</v>
      </c>
      <c r="F89" s="1" t="str">
        <f>VLOOKUP($A89, 'Job Data'!$A$2:$P$220,15, FALSE)</f>
        <v>C:\Users\wubia\OneDrive - Longi Magnet Australia Pty ltd\Documents - Longi Australia\03 Project Management\Client\Terra_mining\Extension Hill\AQ0083  DMS Replacement Unit</v>
      </c>
      <c r="G89" s="16" t="str">
        <f t="shared" si="1"/>
        <v>Open Project Folder</v>
      </c>
      <c r="H89" s="1"/>
    </row>
    <row r="90" spans="1:8" ht="24.65" customHeight="1">
      <c r="A90" s="24" t="s">
        <v>729</v>
      </c>
      <c r="B90" s="24">
        <v>1</v>
      </c>
      <c r="C90" s="5" t="str">
        <f>VLOOKUP($A90, 'Job Data'!$A$2:$P$220,2, FALSE)</f>
        <v>Terra_mining</v>
      </c>
      <c r="D90" s="5" t="str">
        <f>VLOOKUP($A90, 'Job Data'!$A$2:$P$220,3, FALSE)</f>
        <v>Extension Hill</v>
      </c>
      <c r="E90" s="5" t="str">
        <f>VLOOKUP($A90, 'Job Data'!$A$2:$P$220,14, FALSE)</f>
        <v>AQ0084  Second DMS Modular Plant (DMS Assembly &amp; Platform)</v>
      </c>
      <c r="F90" s="1" t="str">
        <f>VLOOKUP($A90, 'Job Data'!$A$2:$P$220,15, FALSE)</f>
        <v>C:\Users\wubia\OneDrive - Longi Magnet Australia Pty ltd\Documents - Longi Australia\03 Project Management\Client\Terra_mining\Extension Hill\AQ0084  Second DMS Modular Plant (DMS Assembly &amp; Platform)</v>
      </c>
      <c r="G90" s="16" t="str">
        <f t="shared" si="1"/>
        <v>Open Project Folder</v>
      </c>
      <c r="H90" s="1"/>
    </row>
    <row r="91" spans="1:8" ht="24.65" customHeight="1">
      <c r="A91" s="24" t="s">
        <v>753</v>
      </c>
      <c r="B91" s="24">
        <v>1</v>
      </c>
      <c r="C91" s="5" t="str">
        <f>VLOOKUP($A91, 'Job Data'!$A$2:$P$220,2, FALSE)</f>
        <v>Capricorn_Metals</v>
      </c>
      <c r="D91" s="5" t="str">
        <f>VLOOKUP($A91, 'Job Data'!$A$2:$P$220,3, FALSE)</f>
        <v>Karlawinda Expansion</v>
      </c>
      <c r="E91" s="5" t="str">
        <f>VLOOKUP($A91, 'Job Data'!$A$2:$P$220,14, FALSE)</f>
        <v>AQ0085 828 - Tramp Metal Magnet</v>
      </c>
      <c r="F91" s="1" t="str">
        <f>VLOOKUP($A91, 'Job Data'!$A$2:$P$220,15, FALSE)</f>
        <v>C:\Users\wubia\OneDrive - Longi Magnet Australia Pty ltd\Documents - Longi Australia\03 Project Management\Client\Capricorn_Metals\Karlawinda Expansion\AQ0085 828 - Tramp Metal Magnet</v>
      </c>
      <c r="G91" s="16" t="str">
        <f t="shared" si="1"/>
        <v>Open Project Folder</v>
      </c>
      <c r="H91" s="1"/>
    </row>
    <row r="92" spans="1:8" ht="24.65" customHeight="1">
      <c r="A92" s="24" t="s">
        <v>754</v>
      </c>
      <c r="B92" s="24">
        <v>1</v>
      </c>
      <c r="C92" s="5" t="str">
        <f>VLOOKUP($A92, 'Job Data'!$A$2:$P$220,2, FALSE)</f>
        <v>Terra_mining</v>
      </c>
      <c r="D92" s="5" t="str">
        <f>VLOOKUP($A92, 'Job Data'!$A$2:$P$220,3, FALSE)</f>
        <v>Extension Hill</v>
      </c>
      <c r="E92" s="5" t="str">
        <f>VLOOKUP($A92, 'Job Data'!$A$2:$P$220,14, FALSE)</f>
        <v>AQ0086 Dry Mag Separation Platform(batch 2)</v>
      </c>
      <c r="F92" s="1" t="str">
        <f>VLOOKUP($A92, 'Job Data'!$A$2:$P$220,15, FALSE)</f>
        <v>C:\Users\wubia\OneDrive - Longi Magnet Australia Pty ltd\Documents - Longi Australia\03 Project Management\Client\Terra_mining\Extension Hill\AQ0086 Dry Mag Separation Platform(batch 2)</v>
      </c>
      <c r="G92" s="16" t="str">
        <f t="shared" si="1"/>
        <v>Open Project Folder</v>
      </c>
      <c r="H92" s="1"/>
    </row>
    <row r="93" spans="1:8" ht="24.65" customHeight="1">
      <c r="A93" s="24" t="s">
        <v>755</v>
      </c>
      <c r="B93" s="24">
        <v>1</v>
      </c>
      <c r="C93" s="5" t="str">
        <f>VLOOKUP($A93, 'Job Data'!$A$2:$P$220,2, FALSE)</f>
        <v>BV</v>
      </c>
      <c r="D93" s="5" t="str">
        <f>VLOOKUP($A93, 'Job Data'!$A$2:$P$220,3, FALSE)</f>
        <v>BV Perth</v>
      </c>
      <c r="E93" s="5" t="str">
        <f>VLOOKUP($A93, 'Job Data'!$A$2:$P$220,14, FALSE)</f>
        <v>AQ0087 Jaw Crusher Operation Platform</v>
      </c>
      <c r="F93" s="1" t="str">
        <f>VLOOKUP($A93, 'Job Data'!$A$2:$P$220,15, FALSE)</f>
        <v>C:\Users\wubia\OneDrive - Longi Magnet Australia Pty ltd\Documents - Longi Australia\03 Project Management\Client\BV\BV Perth\AQ0087 Jaw Crusher Operation Platform</v>
      </c>
      <c r="G93" s="16" t="str">
        <f t="shared" si="1"/>
        <v>Open Project Folder</v>
      </c>
      <c r="H93" s="1"/>
    </row>
    <row r="94" spans="1:8" ht="24.65" customHeight="1">
      <c r="A94" s="24" t="s">
        <v>756</v>
      </c>
      <c r="B94" s="24">
        <v>1</v>
      </c>
      <c r="C94" s="5" t="str">
        <f>VLOOKUP($A94, 'Job Data'!$A$2:$P$220,2, FALSE)</f>
        <v>YINGHUI_INTERNATIONAL</v>
      </c>
      <c r="D94" s="5" t="str">
        <f>VLOOKUP($A94, 'Job Data'!$A$2:$P$220,3, FALSE)</f>
        <v>Recycling  belt magnet</v>
      </c>
      <c r="E94" s="5" t="str">
        <f>VLOOKUP($A94, 'Job Data'!$A$2:$P$220,14, FALSE)</f>
        <v>AQ0088 Recycling plant RCY-C65  Belt Magnet</v>
      </c>
      <c r="F94" s="1" t="str">
        <f>VLOOKUP($A94, 'Job Data'!$A$2:$P$220,15, FALSE)</f>
        <v>C:\Users\wubia\OneDrive - Longi Magnet Australia Pty ltd\Documents - Longi Australia\03 Project Management\Client\YINGHUI_INTERNATIONAL\Recycling  belt magnet\AQ0088 Recycling plant RCY-C65  Belt Magnet</v>
      </c>
      <c r="G94" s="16" t="str">
        <f t="shared" si="1"/>
        <v>Open Project Folder</v>
      </c>
      <c r="H94" s="1"/>
    </row>
    <row r="95" spans="1:8" ht="24.65" customHeight="1">
      <c r="A95" s="22" t="s">
        <v>757</v>
      </c>
      <c r="B95" s="24">
        <v>1</v>
      </c>
      <c r="C95" s="5" t="str">
        <f>VLOOKUP($A95, 'Job Data'!$A$2:$P$220,2, FALSE)</f>
        <v>Terra_mining</v>
      </c>
      <c r="D95" s="5" t="str">
        <f>VLOOKUP($A95, 'Job Data'!$A$2:$P$220,3, FALSE)</f>
        <v>Extension Hill</v>
      </c>
      <c r="E95" s="5" t="str">
        <f>VLOOKUP($A95, 'Job Data'!$A$2:$P$220,14, FALSE)</f>
        <v>AQ0089 3rd DMS Unit</v>
      </c>
      <c r="F95" s="1" t="str">
        <f>VLOOKUP($A95, 'Job Data'!$A$2:$P$220,15, FALSE)</f>
        <v>C:\Users\wubia\OneDrive - Longi Magnet Australia Pty ltd\Documents - Longi Australia\03 Project Management\Client\Terra_mining\Extension Hill\AQ0089 3rd DMS Unit</v>
      </c>
      <c r="G95" s="16" t="str">
        <f t="shared" si="1"/>
        <v>Open Project Folder</v>
      </c>
      <c r="H95" s="1"/>
    </row>
    <row r="96" spans="1:8" ht="24.65" customHeight="1">
      <c r="A96" s="22" t="s">
        <v>774</v>
      </c>
      <c r="B96" s="22">
        <v>89</v>
      </c>
      <c r="C96" s="5" t="e">
        <f>VLOOKUP($A96, 'Job Data'!$A$2:$P$220,2, FALSE)</f>
        <v>#N/A</v>
      </c>
      <c r="D96" s="5" t="e">
        <f>VLOOKUP($A96, 'Job Data'!$A$2:$P$220,3, FALSE)</f>
        <v>#N/A</v>
      </c>
      <c r="E96" s="5" t="e">
        <f>VLOOKUP($A96, 'Job Data'!$A$2:$P$220,14, FALSE)</f>
        <v>#N/A</v>
      </c>
      <c r="F96" s="1" t="e">
        <f>VLOOKUP($A96, 'Job Data'!$A$2:$P$220,15, FALSE)</f>
        <v>#N/A</v>
      </c>
      <c r="G96" s="16" t="e">
        <f t="shared" si="1"/>
        <v>#N/A</v>
      </c>
      <c r="H96" s="1"/>
    </row>
    <row r="97" spans="3:8" ht="24.65" customHeight="1">
      <c r="C97" s="5" t="e">
        <f>VLOOKUP($A97, 'Job Data'!$A$2:$P$220,2, FALSE)</f>
        <v>#N/A</v>
      </c>
      <c r="D97" s="5" t="e">
        <f>VLOOKUP($A97, 'Job Data'!$A$2:$P$220,3, FALSE)</f>
        <v>#N/A</v>
      </c>
      <c r="E97" s="5" t="e">
        <f>VLOOKUP($A97, 'Job Data'!$A$2:$P$220,14, FALSE)</f>
        <v>#N/A</v>
      </c>
      <c r="F97" s="1" t="e">
        <f>VLOOKUP($A97, 'Job Data'!$A$2:$P$220,15, FALSE)</f>
        <v>#N/A</v>
      </c>
      <c r="G97" s="16" t="e">
        <f t="shared" si="1"/>
        <v>#N/A</v>
      </c>
      <c r="H97" s="1"/>
    </row>
    <row r="98" spans="3:8" ht="24.65" customHeight="1">
      <c r="C98" s="5" t="e">
        <f>VLOOKUP($A98, 'Job Data'!$A$2:$P$220,2, FALSE)</f>
        <v>#N/A</v>
      </c>
      <c r="D98" s="5" t="e">
        <f>VLOOKUP($A98, 'Job Data'!$A$2:$P$220,3, FALSE)</f>
        <v>#N/A</v>
      </c>
      <c r="E98" s="5" t="e">
        <f>VLOOKUP($A98, 'Job Data'!$A$2:$P$220,14, FALSE)</f>
        <v>#N/A</v>
      </c>
      <c r="F98" s="1" t="e">
        <f>VLOOKUP($A98, 'Job Data'!$A$2:$P$220,15, FALSE)</f>
        <v>#N/A</v>
      </c>
      <c r="G98" s="16" t="e">
        <f t="shared" si="1"/>
        <v>#N/A</v>
      </c>
      <c r="H98" s="1"/>
    </row>
    <row r="99" spans="3:8" ht="24.65" customHeight="1">
      <c r="C99" s="5" t="e">
        <f>VLOOKUP($A99, 'Job Data'!$A$2:$P$220,2, FALSE)</f>
        <v>#N/A</v>
      </c>
      <c r="D99" s="5" t="e">
        <f>VLOOKUP($A99, 'Job Data'!$A$2:$P$220,3, FALSE)</f>
        <v>#N/A</v>
      </c>
      <c r="E99" s="5" t="e">
        <f>VLOOKUP($A99, 'Job Data'!$A$2:$P$220,14, FALSE)</f>
        <v>#N/A</v>
      </c>
      <c r="F99" s="1" t="e">
        <f>VLOOKUP($A99, 'Job Data'!$A$2:$P$220,15, FALSE)</f>
        <v>#N/A</v>
      </c>
      <c r="G99" s="16" t="e">
        <f t="shared" si="1"/>
        <v>#N/A</v>
      </c>
      <c r="H99" s="1"/>
    </row>
    <row r="100" spans="3:8" ht="24.65" customHeight="1">
      <c r="C100" s="5" t="e">
        <f>VLOOKUP($A100, 'Job Data'!$A$2:$P$220,2, FALSE)</f>
        <v>#N/A</v>
      </c>
      <c r="D100" s="5" t="e">
        <f>VLOOKUP($A100, 'Job Data'!$A$2:$P$220,3, FALSE)</f>
        <v>#N/A</v>
      </c>
      <c r="E100" s="5" t="e">
        <f>VLOOKUP($A100, 'Job Data'!$A$2:$P$220,14, FALSE)</f>
        <v>#N/A</v>
      </c>
      <c r="F100" s="1" t="e">
        <f>VLOOKUP($A100, 'Job Data'!$A$2:$P$220,15, FALSE)</f>
        <v>#N/A</v>
      </c>
      <c r="G100" s="16" t="e">
        <f t="shared" si="1"/>
        <v>#N/A</v>
      </c>
      <c r="H100" s="1"/>
    </row>
    <row r="101" spans="3:8" ht="24.65" customHeight="1">
      <c r="C101" s="5" t="e">
        <f>VLOOKUP($A101, 'Job Data'!$A$2:$P$220,2, FALSE)</f>
        <v>#N/A</v>
      </c>
      <c r="D101" s="5" t="e">
        <f>VLOOKUP($A101, 'Job Data'!$A$2:$P$220,3, FALSE)</f>
        <v>#N/A</v>
      </c>
      <c r="E101" s="5" t="e">
        <f>VLOOKUP($A101, 'Job Data'!$A$2:$P$220,14, FALSE)</f>
        <v>#N/A</v>
      </c>
      <c r="F101" s="1" t="e">
        <f>VLOOKUP($A101, 'Job Data'!$A$2:$P$220,15, FALSE)</f>
        <v>#N/A</v>
      </c>
      <c r="G101" s="16" t="e">
        <f t="shared" si="1"/>
        <v>#N/A</v>
      </c>
      <c r="H101" s="1"/>
    </row>
    <row r="102" spans="3:8" ht="24.65" customHeight="1">
      <c r="C102" s="5" t="e">
        <f>VLOOKUP($A102, 'Job Data'!$A$2:$P$220,2, FALSE)</f>
        <v>#N/A</v>
      </c>
      <c r="D102" s="5" t="e">
        <f>VLOOKUP($A102, 'Job Data'!$A$2:$P$220,3, FALSE)</f>
        <v>#N/A</v>
      </c>
      <c r="E102" s="5" t="e">
        <f>VLOOKUP($A102, 'Job Data'!$A$2:$P$220,14, FALSE)</f>
        <v>#N/A</v>
      </c>
      <c r="F102" s="1" t="e">
        <f>VLOOKUP($A102, 'Job Data'!$A$2:$P$220,15, FALSE)</f>
        <v>#N/A</v>
      </c>
      <c r="G102" s="16" t="e">
        <f t="shared" si="1"/>
        <v>#N/A</v>
      </c>
      <c r="H102" s="1"/>
    </row>
    <row r="103" spans="3:8" ht="24.65" customHeight="1">
      <c r="C103" s="5" t="e">
        <f>VLOOKUP($A103, 'Job Data'!$A$2:$P$220,2, FALSE)</f>
        <v>#N/A</v>
      </c>
      <c r="D103" s="5" t="e">
        <f>VLOOKUP($A103, 'Job Data'!$A$2:$P$220,3, FALSE)</f>
        <v>#N/A</v>
      </c>
      <c r="E103" s="5" t="e">
        <f>VLOOKUP($A103, 'Job Data'!$A$2:$P$220,14, FALSE)</f>
        <v>#N/A</v>
      </c>
      <c r="F103" s="1" t="e">
        <f>VLOOKUP($A103, 'Job Data'!$A$2:$P$220,15, FALSE)</f>
        <v>#N/A</v>
      </c>
      <c r="G103" s="16" t="e">
        <f t="shared" si="1"/>
        <v>#N/A</v>
      </c>
      <c r="H103" s="1"/>
    </row>
    <row r="104" spans="3:8" ht="24.65" customHeight="1">
      <c r="C104" s="5" t="e">
        <f>VLOOKUP($A104, 'Job Data'!$A$2:$P$220,2, FALSE)</f>
        <v>#N/A</v>
      </c>
      <c r="D104" s="5" t="e">
        <f>VLOOKUP($A104, 'Job Data'!$A$2:$P$220,3, FALSE)</f>
        <v>#N/A</v>
      </c>
      <c r="E104" s="5" t="e">
        <f>VLOOKUP($A104, 'Job Data'!$A$2:$P$220,14, FALSE)</f>
        <v>#N/A</v>
      </c>
      <c r="F104" s="1" t="e">
        <f>VLOOKUP($A104, 'Job Data'!$A$2:$P$220,15, FALSE)</f>
        <v>#N/A</v>
      </c>
      <c r="G104" s="16" t="e">
        <f t="shared" si="1"/>
        <v>#N/A</v>
      </c>
      <c r="H104" s="1"/>
    </row>
    <row r="105" spans="3:8" ht="24.65" customHeight="1">
      <c r="C105" s="5" t="e">
        <f>VLOOKUP($A105, 'Job Data'!$A$2:$P$220,2, FALSE)</f>
        <v>#N/A</v>
      </c>
      <c r="D105" s="5" t="e">
        <f>VLOOKUP($A105, 'Job Data'!$A$2:$P$220,3, FALSE)</f>
        <v>#N/A</v>
      </c>
      <c r="E105" s="5" t="e">
        <f>VLOOKUP($A105, 'Job Data'!$A$2:$P$220,14, FALSE)</f>
        <v>#N/A</v>
      </c>
      <c r="F105" s="1" t="e">
        <f>VLOOKUP($A105, 'Job Data'!$A$2:$P$220,15, FALSE)</f>
        <v>#N/A</v>
      </c>
      <c r="G105" s="16" t="e">
        <f t="shared" si="1"/>
        <v>#N/A</v>
      </c>
      <c r="H105" s="1"/>
    </row>
    <row r="106" spans="3:8" ht="24.65" customHeight="1">
      <c r="C106" s="5" t="e">
        <f>VLOOKUP($A106, 'Job Data'!$A$2:$P$220,2, FALSE)</f>
        <v>#N/A</v>
      </c>
      <c r="D106" s="5" t="e">
        <f>VLOOKUP($A106, 'Job Data'!$A$2:$P$220,3, FALSE)</f>
        <v>#N/A</v>
      </c>
      <c r="E106" s="5" t="e">
        <f>VLOOKUP($A106, 'Job Data'!$A$2:$P$220,14, FALSE)</f>
        <v>#N/A</v>
      </c>
      <c r="F106" s="1" t="e">
        <f>VLOOKUP($A106, 'Job Data'!$A$2:$P$220,15, FALSE)</f>
        <v>#N/A</v>
      </c>
      <c r="G106" s="16" t="e">
        <f t="shared" si="1"/>
        <v>#N/A</v>
      </c>
      <c r="H106" s="1"/>
    </row>
    <row r="107" spans="3:8" ht="24.65" customHeight="1">
      <c r="C107" s="5" t="e">
        <f>VLOOKUP($A107, 'Job Data'!$A$2:$P$220,2, FALSE)</f>
        <v>#N/A</v>
      </c>
      <c r="D107" s="5" t="e">
        <f>VLOOKUP($A107, 'Job Data'!$A$2:$P$220,3, FALSE)</f>
        <v>#N/A</v>
      </c>
      <c r="E107" s="5" t="e">
        <f>VLOOKUP($A107, 'Job Data'!$A$2:$P$220,14, FALSE)</f>
        <v>#N/A</v>
      </c>
      <c r="F107" s="1" t="e">
        <f>VLOOKUP($A107, 'Job Data'!$A$2:$P$220,15, FALSE)</f>
        <v>#N/A</v>
      </c>
      <c r="G107" s="16" t="e">
        <f t="shared" si="1"/>
        <v>#N/A</v>
      </c>
      <c r="H107" s="1"/>
    </row>
    <row r="108" spans="3:8" ht="24.65" customHeight="1">
      <c r="C108" s="5" t="e">
        <f>VLOOKUP($A108, 'Job Data'!$A$2:$P$220,2, FALSE)</f>
        <v>#N/A</v>
      </c>
      <c r="D108" s="5" t="e">
        <f>VLOOKUP($A108, 'Job Data'!$A$2:$P$220,3, FALSE)</f>
        <v>#N/A</v>
      </c>
      <c r="E108" s="5" t="e">
        <f>VLOOKUP($A108, 'Job Data'!$A$2:$P$220,14, FALSE)</f>
        <v>#N/A</v>
      </c>
      <c r="F108" s="1" t="e">
        <f>VLOOKUP($A108, 'Job Data'!$A$2:$P$220,15, FALSE)</f>
        <v>#N/A</v>
      </c>
      <c r="G108" s="16" t="e">
        <f t="shared" si="1"/>
        <v>#N/A</v>
      </c>
      <c r="H108" s="1"/>
    </row>
    <row r="109" spans="3:8" ht="24.65" customHeight="1">
      <c r="C109" s="5" t="e">
        <f>VLOOKUP($A109, 'Job Data'!$A$2:$P$220,2, FALSE)</f>
        <v>#N/A</v>
      </c>
      <c r="D109" s="5" t="e">
        <f>VLOOKUP($A109, 'Job Data'!$A$2:$P$220,3, FALSE)</f>
        <v>#N/A</v>
      </c>
      <c r="E109" s="5" t="e">
        <f>VLOOKUP($A109, 'Job Data'!$A$2:$P$220,14, FALSE)</f>
        <v>#N/A</v>
      </c>
      <c r="F109" s="1" t="e">
        <f>VLOOKUP($A109, 'Job Data'!$A$2:$P$220,15, FALSE)</f>
        <v>#N/A</v>
      </c>
      <c r="G109" s="16" t="e">
        <f t="shared" si="1"/>
        <v>#N/A</v>
      </c>
      <c r="H109" s="1"/>
    </row>
    <row r="110" spans="3:8" ht="24.65" customHeight="1">
      <c r="C110" s="5" t="e">
        <f>VLOOKUP($A110, 'Job Data'!$A$2:$P$220,2, FALSE)</f>
        <v>#N/A</v>
      </c>
      <c r="D110" s="5" t="e">
        <f>VLOOKUP($A110, 'Job Data'!$A$2:$P$220,3, FALSE)</f>
        <v>#N/A</v>
      </c>
      <c r="E110" s="5" t="e">
        <f>VLOOKUP($A110, 'Job Data'!$A$2:$P$220,14, FALSE)</f>
        <v>#N/A</v>
      </c>
      <c r="F110" s="1" t="e">
        <f>VLOOKUP($A110, 'Job Data'!$A$2:$P$220,15, FALSE)</f>
        <v>#N/A</v>
      </c>
      <c r="G110" s="16" t="e">
        <f t="shared" si="1"/>
        <v>#N/A</v>
      </c>
      <c r="H110" s="1"/>
    </row>
    <row r="111" spans="3:8" ht="24.65" customHeight="1">
      <c r="C111" s="5" t="e">
        <f>VLOOKUP($A111, 'Job Data'!$A$2:$P$220,2, FALSE)</f>
        <v>#N/A</v>
      </c>
      <c r="D111" s="5" t="e">
        <f>VLOOKUP($A111, 'Job Data'!$A$2:$P$220,3, FALSE)</f>
        <v>#N/A</v>
      </c>
      <c r="E111" s="5" t="e">
        <f>VLOOKUP($A111, 'Job Data'!$A$2:$P$220,14, FALSE)</f>
        <v>#N/A</v>
      </c>
      <c r="F111" s="1" t="e">
        <f>VLOOKUP($A111, 'Job Data'!$A$2:$P$220,15, FALSE)</f>
        <v>#N/A</v>
      </c>
      <c r="G111" s="16" t="e">
        <f t="shared" si="1"/>
        <v>#N/A</v>
      </c>
      <c r="H111" s="1"/>
    </row>
    <row r="112" spans="3:8" ht="24.65" customHeight="1">
      <c r="C112" s="5" t="e">
        <f>VLOOKUP($A112, 'Job Data'!$A$2:$P$220,2, FALSE)</f>
        <v>#N/A</v>
      </c>
      <c r="D112" s="5" t="e">
        <f>VLOOKUP($A112, 'Job Data'!$A$2:$P$220,3, FALSE)</f>
        <v>#N/A</v>
      </c>
      <c r="E112" s="5" t="e">
        <f>VLOOKUP($A112, 'Job Data'!$A$2:$P$220,14, FALSE)</f>
        <v>#N/A</v>
      </c>
      <c r="F112" s="1" t="e">
        <f>VLOOKUP($A112, 'Job Data'!$A$2:$P$220,15, FALSE)</f>
        <v>#N/A</v>
      </c>
      <c r="G112" s="16" t="e">
        <f t="shared" si="1"/>
        <v>#N/A</v>
      </c>
      <c r="H112" s="1"/>
    </row>
    <row r="113" spans="3:8" ht="24.65" customHeight="1">
      <c r="C113" s="5" t="e">
        <f>VLOOKUP($A113, 'Job Data'!$A$2:$P$220,2, FALSE)</f>
        <v>#N/A</v>
      </c>
      <c r="D113" s="5" t="e">
        <f>VLOOKUP($A113, 'Job Data'!$A$2:$P$220,3, FALSE)</f>
        <v>#N/A</v>
      </c>
      <c r="E113" s="5" t="e">
        <f>VLOOKUP($A113, 'Job Data'!$A$2:$P$220,14, FALSE)</f>
        <v>#N/A</v>
      </c>
      <c r="F113" s="1" t="e">
        <f>VLOOKUP($A113, 'Job Data'!$A$2:$P$220,15, FALSE)</f>
        <v>#N/A</v>
      </c>
      <c r="G113" s="16" t="e">
        <f t="shared" si="1"/>
        <v>#N/A</v>
      </c>
      <c r="H113" s="1"/>
    </row>
    <row r="114" spans="3:8" ht="24.65" customHeight="1">
      <c r="C114" s="5" t="e">
        <f>VLOOKUP($A114, 'Job Data'!$A$2:$P$220,2, FALSE)</f>
        <v>#N/A</v>
      </c>
      <c r="D114" s="5" t="e">
        <f>VLOOKUP($A114, 'Job Data'!$A$2:$P$220,3, FALSE)</f>
        <v>#N/A</v>
      </c>
      <c r="E114" s="5" t="e">
        <f>VLOOKUP($A114, 'Job Data'!$A$2:$P$220,14, FALSE)</f>
        <v>#N/A</v>
      </c>
      <c r="F114" s="1" t="e">
        <f>VLOOKUP($A114, 'Job Data'!$A$2:$P$220,15, FALSE)</f>
        <v>#N/A</v>
      </c>
      <c r="G114" s="16" t="e">
        <f t="shared" si="1"/>
        <v>#N/A</v>
      </c>
      <c r="H114" s="1"/>
    </row>
    <row r="115" spans="3:8" ht="24.65" customHeight="1">
      <c r="C115" s="5" t="e">
        <f>VLOOKUP($A115, 'Job Data'!$A$2:$P$220,2, FALSE)</f>
        <v>#N/A</v>
      </c>
      <c r="D115" s="5" t="e">
        <f>VLOOKUP($A115, 'Job Data'!$A$2:$P$220,3, FALSE)</f>
        <v>#N/A</v>
      </c>
      <c r="E115" s="5" t="e">
        <f>VLOOKUP($A115, 'Job Data'!$A$2:$P$220,14, FALSE)</f>
        <v>#N/A</v>
      </c>
      <c r="F115" s="1" t="e">
        <f>VLOOKUP($A115, 'Job Data'!$A$2:$P$220,15, FALSE)</f>
        <v>#N/A</v>
      </c>
      <c r="G115" s="16" t="e">
        <f t="shared" si="1"/>
        <v>#N/A</v>
      </c>
      <c r="H115" s="1"/>
    </row>
    <row r="116" spans="3:8" ht="24.65" customHeight="1">
      <c r="C116" s="5" t="e">
        <f>VLOOKUP($A116, 'Job Data'!$A$2:$P$220,2, FALSE)</f>
        <v>#N/A</v>
      </c>
      <c r="D116" s="5" t="e">
        <f>VLOOKUP($A116, 'Job Data'!$A$2:$P$220,3, FALSE)</f>
        <v>#N/A</v>
      </c>
      <c r="E116" s="5" t="e">
        <f>VLOOKUP($A116, 'Job Data'!$A$2:$P$220,14, FALSE)</f>
        <v>#N/A</v>
      </c>
      <c r="F116" s="1" t="e">
        <f>VLOOKUP($A116, 'Job Data'!$A$2:$P$220,15, FALSE)</f>
        <v>#N/A</v>
      </c>
      <c r="G116" s="16" t="e">
        <f t="shared" si="1"/>
        <v>#N/A</v>
      </c>
      <c r="H116" s="1"/>
    </row>
    <row r="117" spans="3:8" ht="24.65" customHeight="1">
      <c r="C117" s="5" t="e">
        <f>VLOOKUP($A117, 'Job Data'!$A$2:$P$220,2, FALSE)</f>
        <v>#N/A</v>
      </c>
      <c r="D117" s="5" t="e">
        <f>VLOOKUP($A117, 'Job Data'!$A$2:$P$220,3, FALSE)</f>
        <v>#N/A</v>
      </c>
      <c r="E117" s="5" t="e">
        <f>VLOOKUP($A117, 'Job Data'!$A$2:$P$220,14, FALSE)</f>
        <v>#N/A</v>
      </c>
      <c r="F117" s="1" t="e">
        <f>VLOOKUP($A117, 'Job Data'!$A$2:$P$220,15, FALSE)</f>
        <v>#N/A</v>
      </c>
      <c r="G117" s="16" t="e">
        <f t="shared" si="1"/>
        <v>#N/A</v>
      </c>
      <c r="H117" s="1"/>
    </row>
    <row r="118" spans="3:8" ht="24.65" customHeight="1">
      <c r="C118" s="5" t="e">
        <f>VLOOKUP($A118, 'Job Data'!$A$2:$P$220,2, FALSE)</f>
        <v>#N/A</v>
      </c>
      <c r="D118" s="5" t="e">
        <f>VLOOKUP($A118, 'Job Data'!$A$2:$P$220,3, FALSE)</f>
        <v>#N/A</v>
      </c>
      <c r="E118" s="5" t="e">
        <f>VLOOKUP($A118, 'Job Data'!$A$2:$P$220,14, FALSE)</f>
        <v>#N/A</v>
      </c>
      <c r="F118" s="1" t="e">
        <f>VLOOKUP($A118, 'Job Data'!$A$2:$P$220,15, FALSE)</f>
        <v>#N/A</v>
      </c>
      <c r="G118" s="16" t="e">
        <f t="shared" si="1"/>
        <v>#N/A</v>
      </c>
      <c r="H118" s="1"/>
    </row>
    <row r="119" spans="3:8" ht="24.65" customHeight="1">
      <c r="C119" s="5" t="e">
        <f>VLOOKUP($A119, 'Job Data'!$A$2:$P$220,2, FALSE)</f>
        <v>#N/A</v>
      </c>
      <c r="D119" s="5" t="e">
        <f>VLOOKUP($A119, 'Job Data'!$A$2:$P$220,3, FALSE)</f>
        <v>#N/A</v>
      </c>
      <c r="E119" s="5" t="e">
        <f>VLOOKUP($A119, 'Job Data'!$A$2:$P$220,14, FALSE)</f>
        <v>#N/A</v>
      </c>
      <c r="F119" s="1" t="e">
        <f>VLOOKUP($A119, 'Job Data'!$A$2:$P$220,15, FALSE)</f>
        <v>#N/A</v>
      </c>
      <c r="G119" s="16" t="e">
        <f t="shared" si="1"/>
        <v>#N/A</v>
      </c>
      <c r="H119" s="1"/>
    </row>
    <row r="120" spans="3:8" ht="24.65" customHeight="1">
      <c r="C120" s="5" t="e">
        <f>VLOOKUP($A120, 'Job Data'!$A$2:$P$220,2, FALSE)</f>
        <v>#N/A</v>
      </c>
      <c r="D120" s="5" t="e">
        <f>VLOOKUP($A120, 'Job Data'!$A$2:$P$220,3, FALSE)</f>
        <v>#N/A</v>
      </c>
      <c r="E120" s="5" t="e">
        <f>VLOOKUP($A120, 'Job Data'!$A$2:$P$220,14, FALSE)</f>
        <v>#N/A</v>
      </c>
      <c r="F120" s="1" t="e">
        <f>VLOOKUP($A120, 'Job Data'!$A$2:$P$220,15, FALSE)</f>
        <v>#N/A</v>
      </c>
      <c r="G120" s="16" t="e">
        <f t="shared" si="1"/>
        <v>#N/A</v>
      </c>
      <c r="H120" s="1"/>
    </row>
    <row r="121" spans="3:8" ht="24.65" customHeight="1">
      <c r="C121" s="5" t="e">
        <f>VLOOKUP($A121, 'Job Data'!$A$2:$P$220,2, FALSE)</f>
        <v>#N/A</v>
      </c>
      <c r="D121" s="5" t="e">
        <f>VLOOKUP($A121, 'Job Data'!$A$2:$P$220,3, FALSE)</f>
        <v>#N/A</v>
      </c>
      <c r="E121" s="5" t="e">
        <f>VLOOKUP($A121, 'Job Data'!$A$2:$P$220,14, FALSE)</f>
        <v>#N/A</v>
      </c>
      <c r="F121" s="1" t="e">
        <f>VLOOKUP($A121, 'Job Data'!$A$2:$P$220,15, FALSE)</f>
        <v>#N/A</v>
      </c>
      <c r="G121" s="16" t="e">
        <f t="shared" si="1"/>
        <v>#N/A</v>
      </c>
      <c r="H121" s="1"/>
    </row>
    <row r="122" spans="3:8" ht="24.65" customHeight="1">
      <c r="C122" s="5" t="e">
        <f>VLOOKUP($A122, 'Job Data'!$A$2:$P$220,2, FALSE)</f>
        <v>#N/A</v>
      </c>
      <c r="D122" s="5" t="e">
        <f>VLOOKUP($A122, 'Job Data'!$A$2:$P$220,3, FALSE)</f>
        <v>#N/A</v>
      </c>
      <c r="E122" s="5" t="e">
        <f>VLOOKUP($A122, 'Job Data'!$A$2:$P$220,14, FALSE)</f>
        <v>#N/A</v>
      </c>
      <c r="F122" s="1" t="e">
        <f>VLOOKUP($A122, 'Job Data'!$A$2:$P$220,15, FALSE)</f>
        <v>#N/A</v>
      </c>
      <c r="G122" s="16" t="e">
        <f t="shared" si="1"/>
        <v>#N/A</v>
      </c>
      <c r="H122" s="1"/>
    </row>
    <row r="123" spans="3:8" ht="24.65" customHeight="1">
      <c r="C123" s="5" t="e">
        <f>VLOOKUP($A123, 'Job Data'!$A$2:$P$220,2, FALSE)</f>
        <v>#N/A</v>
      </c>
      <c r="D123" s="5" t="e">
        <f>VLOOKUP($A123, 'Job Data'!$A$2:$P$220,3, FALSE)</f>
        <v>#N/A</v>
      </c>
      <c r="E123" s="5" t="e">
        <f>VLOOKUP($A123, 'Job Data'!$A$2:$P$220,14, FALSE)</f>
        <v>#N/A</v>
      </c>
      <c r="F123" s="1" t="e">
        <f>VLOOKUP($A123, 'Job Data'!$A$2:$P$220,15, FALSE)</f>
        <v>#N/A</v>
      </c>
      <c r="G123" s="16" t="e">
        <f t="shared" si="1"/>
        <v>#N/A</v>
      </c>
      <c r="H123" s="1"/>
    </row>
    <row r="124" spans="3:8" ht="24.65" customHeight="1">
      <c r="C124" s="5" t="e">
        <f>VLOOKUP($A124, 'Job Data'!$A$2:$P$220,2, FALSE)</f>
        <v>#N/A</v>
      </c>
      <c r="D124" s="5" t="e">
        <f>VLOOKUP($A124, 'Job Data'!$A$2:$P$220,3, FALSE)</f>
        <v>#N/A</v>
      </c>
      <c r="E124" s="5" t="e">
        <f>VLOOKUP($A124, 'Job Data'!$A$2:$P$220,14, FALSE)</f>
        <v>#N/A</v>
      </c>
      <c r="F124" s="1" t="e">
        <f>VLOOKUP($A124, 'Job Data'!$A$2:$P$220,15, FALSE)</f>
        <v>#N/A</v>
      </c>
      <c r="G124" s="16" t="e">
        <f t="shared" si="1"/>
        <v>#N/A</v>
      </c>
      <c r="H124" s="1"/>
    </row>
    <row r="125" spans="3:8">
      <c r="C125" s="5" t="e">
        <f>VLOOKUP($A125, 'Job Data'!$A$2:$P$220,2, FALSE)</f>
        <v>#N/A</v>
      </c>
      <c r="D125" s="5" t="e">
        <f>VLOOKUP($A125, 'Job Data'!$A$2:$P$220,3, FALSE)</f>
        <v>#N/A</v>
      </c>
      <c r="E125" s="5" t="e">
        <f>VLOOKUP($A125, 'Job Data'!$A$2:$P$220,14, FALSE)</f>
        <v>#N/A</v>
      </c>
      <c r="F125" s="1"/>
      <c r="G125" s="12"/>
      <c r="H125" s="1"/>
    </row>
    <row r="126" spans="3:8">
      <c r="C126" s="5" t="e">
        <f>VLOOKUP($A126, 'Job Data'!$A$2:$P$220,2, FALSE)</f>
        <v>#N/A</v>
      </c>
      <c r="D126" s="5" t="e">
        <f>VLOOKUP($A126, 'Job Data'!$A$2:$P$220,3, FALSE)</f>
        <v>#N/A</v>
      </c>
      <c r="E126" s="5" t="e">
        <f>VLOOKUP($A126, 'Job Data'!$A$2:$P$220,14, FALSE)</f>
        <v>#N/A</v>
      </c>
      <c r="F126" s="1"/>
      <c r="G126" s="12"/>
      <c r="H126" s="1"/>
    </row>
    <row r="127" spans="3:8">
      <c r="C127" s="5" t="e">
        <f>VLOOKUP($A127, 'Job Data'!$A$2:$P$220,2, FALSE)</f>
        <v>#N/A</v>
      </c>
      <c r="D127" s="5" t="e">
        <f>VLOOKUP($A127, 'Job Data'!$A$2:$P$220,3, FALSE)</f>
        <v>#N/A</v>
      </c>
      <c r="E127" s="5" t="e">
        <f>VLOOKUP($A127, 'Job Data'!$A$2:$P$220,14, FALSE)</f>
        <v>#N/A</v>
      </c>
      <c r="F127" s="1"/>
      <c r="G127" s="12"/>
      <c r="H127" s="1"/>
    </row>
    <row r="128" spans="3:8">
      <c r="C128" s="5" t="e">
        <f>VLOOKUP($A128, 'Job Data'!$A$2:$P$220,2, FALSE)</f>
        <v>#N/A</v>
      </c>
      <c r="D128" s="5" t="e">
        <f>VLOOKUP($A128, 'Job Data'!$A$2:$P$220,3, FALSE)</f>
        <v>#N/A</v>
      </c>
      <c r="E128" s="5" t="e">
        <f>VLOOKUP($A128, 'Job Data'!$A$2:$P$220,14, FALSE)</f>
        <v>#N/A</v>
      </c>
      <c r="F128" s="1"/>
      <c r="G128" s="12"/>
      <c r="H128" s="1"/>
    </row>
    <row r="129" spans="3:8">
      <c r="C129" s="5" t="e">
        <f>VLOOKUP($A129, 'Job Data'!$A$2:$P$220,2, FALSE)</f>
        <v>#N/A</v>
      </c>
      <c r="D129" s="5" t="e">
        <f>VLOOKUP($A129, 'Job Data'!$A$2:$P$220,3, FALSE)</f>
        <v>#N/A</v>
      </c>
      <c r="E129" s="5" t="e">
        <f>VLOOKUP($A129, 'Job Data'!$A$2:$P$220,14, FALSE)</f>
        <v>#N/A</v>
      </c>
      <c r="F129" s="1"/>
      <c r="G129" s="12"/>
      <c r="H129" s="1"/>
    </row>
    <row r="130" spans="3:8">
      <c r="C130" s="5" t="e">
        <f>VLOOKUP($A130, 'Job Data'!$A$2:$P$220,2, FALSE)</f>
        <v>#N/A</v>
      </c>
      <c r="D130" s="5" t="e">
        <f>VLOOKUP($A130, 'Job Data'!$A$2:$P$220,3, FALSE)</f>
        <v>#N/A</v>
      </c>
      <c r="E130" s="5" t="e">
        <f>VLOOKUP($A130, 'Job Data'!$A$2:$P$220,14, FALSE)</f>
        <v>#N/A</v>
      </c>
      <c r="F130" s="1"/>
      <c r="G130" s="1"/>
      <c r="H130" s="1"/>
    </row>
    <row r="131" spans="3:8">
      <c r="C131" s="5" t="e">
        <f>VLOOKUP($A131, 'Job Data'!$A$2:$P$220,2, FALSE)</f>
        <v>#N/A</v>
      </c>
      <c r="D131" s="5" t="e">
        <f>VLOOKUP($A131, 'Job Data'!$A$2:$P$220,3, FALSE)</f>
        <v>#N/A</v>
      </c>
      <c r="E131" s="5" t="e">
        <f>VLOOKUP($A131, 'Job Data'!$A$2:$P$220,14, FALSE)</f>
        <v>#N/A</v>
      </c>
      <c r="F131" s="1"/>
      <c r="G131" s="1"/>
      <c r="H131" s="1"/>
    </row>
    <row r="132" spans="3:8">
      <c r="C132" s="5" t="e">
        <f>VLOOKUP($A132, 'Job Data'!$A$2:$P$220,2, FALSE)</f>
        <v>#N/A</v>
      </c>
      <c r="D132" s="5" t="e">
        <f>VLOOKUP($A132, 'Job Data'!$A$2:$P$220,3, FALSE)</f>
        <v>#N/A</v>
      </c>
      <c r="E132" s="5" t="e">
        <f>VLOOKUP($A132, 'Job Data'!$A$2:$P$220,14, FALSE)</f>
        <v>#N/A</v>
      </c>
      <c r="F132" s="1"/>
      <c r="G132" s="1"/>
      <c r="H132" s="1"/>
    </row>
    <row r="133" spans="3:8">
      <c r="C133" s="5" t="e">
        <f>VLOOKUP($A133, 'Job Data'!$A$2:$P$220,2, FALSE)</f>
        <v>#N/A</v>
      </c>
      <c r="D133" s="5" t="e">
        <f>VLOOKUP($A133, 'Job Data'!$A$2:$P$220,3, FALSE)</f>
        <v>#N/A</v>
      </c>
      <c r="E133" s="5" t="e">
        <f>VLOOKUP($A133, 'Job Data'!$A$2:$P$220,14, FALSE)</f>
        <v>#N/A</v>
      </c>
      <c r="F133" s="1"/>
      <c r="G133" s="1"/>
      <c r="H133" s="1"/>
    </row>
    <row r="134" spans="3:8">
      <c r="C134" s="5" t="e">
        <f>VLOOKUP($A134, 'Job Data'!$A$2:$P$220,2, FALSE)</f>
        <v>#N/A</v>
      </c>
      <c r="D134" s="5" t="e">
        <f>VLOOKUP($A134, 'Job Data'!$A$2:$P$220,3, FALSE)</f>
        <v>#N/A</v>
      </c>
      <c r="E134" s="5" t="e">
        <f>VLOOKUP($A134, 'Job Data'!$A$2:$P$220,14, FALSE)</f>
        <v>#N/A</v>
      </c>
    </row>
    <row r="135" spans="3:8">
      <c r="C135" s="5" t="e">
        <f>VLOOKUP($A135, 'Job Data'!$A$2:$P$220,2, FALSE)</f>
        <v>#N/A</v>
      </c>
      <c r="D135" s="5" t="e">
        <f>VLOOKUP($A135, 'Job Data'!$A$2:$P$220,3, FALSE)</f>
        <v>#N/A</v>
      </c>
      <c r="E135" s="5" t="e">
        <f>VLOOKUP($A135, 'Job Data'!$A$2:$P$220,14, FALSE)</f>
        <v>#N/A</v>
      </c>
    </row>
    <row r="136" spans="3:8">
      <c r="C136" s="5" t="e">
        <f>VLOOKUP($A136, 'Job Data'!$A$2:$P$220,2, FALSE)</f>
        <v>#N/A</v>
      </c>
      <c r="D136" s="5" t="e">
        <f>VLOOKUP($A136, 'Job Data'!$A$2:$P$220,3, FALSE)</f>
        <v>#N/A</v>
      </c>
      <c r="E136" s="5" t="e">
        <f>VLOOKUP($A136, 'Job Data'!$A$2:$P$220,14, FALSE)</f>
        <v>#N/A</v>
      </c>
    </row>
    <row r="137" spans="3:8">
      <c r="C137" s="5" t="e">
        <f>VLOOKUP($A137, 'Job Data'!$A$2:$P$220,2, FALSE)</f>
        <v>#N/A</v>
      </c>
      <c r="D137" s="5" t="e">
        <f>VLOOKUP($A137, 'Job Data'!$A$2:$P$220,3, FALSE)</f>
        <v>#N/A</v>
      </c>
      <c r="E137" s="5" t="e">
        <f>VLOOKUP($A137, 'Job Data'!$A$2:$P$220,14, FALSE)</f>
        <v>#N/A</v>
      </c>
    </row>
    <row r="138" spans="3:8">
      <c r="C138" s="5" t="e">
        <f>VLOOKUP($A138, 'Job Data'!$A$2:$P$220,2, FALSE)</f>
        <v>#N/A</v>
      </c>
      <c r="D138" s="5" t="e">
        <f>VLOOKUP($A138, 'Job Data'!$A$2:$P$220,3, FALSE)</f>
        <v>#N/A</v>
      </c>
      <c r="E138" s="5" t="e">
        <f>VLOOKUP($A138, 'Job Data'!$A$2:$P$220,14, FALSE)</f>
        <v>#N/A</v>
      </c>
    </row>
    <row r="139" spans="3:8">
      <c r="C139" s="5" t="e">
        <f>VLOOKUP($A139, 'Job Data'!$A$2:$P$220,2, FALSE)</f>
        <v>#N/A</v>
      </c>
      <c r="D139" s="5" t="e">
        <f>VLOOKUP($A139, 'Job Data'!$A$2:$P$220,3, FALSE)</f>
        <v>#N/A</v>
      </c>
      <c r="E139" s="5" t="e">
        <f>VLOOKUP($A139, 'Job Data'!$A$2:$P$220,14, FALSE)</f>
        <v>#N/A</v>
      </c>
    </row>
    <row r="140" spans="3:8">
      <c r="C140" s="5" t="e">
        <f>VLOOKUP($A140, 'Job Data'!$A$2:$P$220,2, FALSE)</f>
        <v>#N/A</v>
      </c>
      <c r="D140" s="5" t="e">
        <f>VLOOKUP($A140, 'Job Data'!$A$2:$P$220,3, FALSE)</f>
        <v>#N/A</v>
      </c>
      <c r="E140" s="5" t="e">
        <f>VLOOKUP($A140, 'Job Data'!$A$2:$P$220,14, FALSE)</f>
        <v>#N/A</v>
      </c>
    </row>
    <row r="141" spans="3:8">
      <c r="C141" s="5" t="e">
        <f>VLOOKUP($A141, 'Job Data'!$A$2:$P$220,2, FALSE)</f>
        <v>#N/A</v>
      </c>
      <c r="D141" s="5" t="e">
        <f>VLOOKUP($A141, 'Job Data'!$A$2:$P$220,3, FALSE)</f>
        <v>#N/A</v>
      </c>
      <c r="E141" s="5" t="e">
        <f>VLOOKUP($A141, 'Job Data'!$A$2:$P$220,14, FALSE)</f>
        <v>#N/A</v>
      </c>
    </row>
    <row r="142" spans="3:8">
      <c r="C142" s="5" t="e">
        <f>VLOOKUP($A142, 'Job Data'!$A$2:$P$220,2, FALSE)</f>
        <v>#N/A</v>
      </c>
      <c r="D142" s="5" t="e">
        <f>VLOOKUP($A142, 'Job Data'!$A$2:$P$220,3, FALSE)</f>
        <v>#N/A</v>
      </c>
      <c r="E142" s="5" t="e">
        <f>VLOOKUP($A142, 'Job Data'!$A$2:$P$220,14, FALSE)</f>
        <v>#N/A</v>
      </c>
    </row>
    <row r="143" spans="3:8">
      <c r="C143" s="5" t="e">
        <f>VLOOKUP($A143, 'Job Data'!$A$2:$P$220,2, FALSE)</f>
        <v>#N/A</v>
      </c>
      <c r="D143" s="5" t="e">
        <f>VLOOKUP($A143, 'Job Data'!$A$2:$P$220,3, FALSE)</f>
        <v>#N/A</v>
      </c>
      <c r="E143" s="5" t="e">
        <f>VLOOKUP($A143, 'Job Data'!$A$2:$P$220,14, FALSE)</f>
        <v>#N/A</v>
      </c>
    </row>
    <row r="144" spans="3:8">
      <c r="C144" s="5" t="e">
        <f>VLOOKUP($A144, 'Job Data'!$A$2:$P$220,2, FALSE)</f>
        <v>#N/A</v>
      </c>
      <c r="D144" s="5" t="e">
        <f>VLOOKUP($A144, 'Job Data'!$A$2:$P$220,3, FALSE)</f>
        <v>#N/A</v>
      </c>
      <c r="E144" s="5" t="e">
        <f>VLOOKUP($A144, 'Job Data'!$A$2:$P$220,14, FALSE)</f>
        <v>#N/A</v>
      </c>
    </row>
    <row r="145" spans="3:5">
      <c r="C145" s="5" t="e">
        <f>VLOOKUP($A145, 'Job Data'!$A$2:$P$220,2, FALSE)</f>
        <v>#N/A</v>
      </c>
      <c r="D145" s="5" t="e">
        <f>VLOOKUP($A145, 'Job Data'!$A$2:$P$220,3, FALSE)</f>
        <v>#N/A</v>
      </c>
      <c r="E145" s="5" t="e">
        <f>VLOOKUP($A145, 'Job Data'!$A$2:$P$220,14, FALSE)</f>
        <v>#N/A</v>
      </c>
    </row>
    <row r="146" spans="3:5">
      <c r="C146" s="5" t="e">
        <f>VLOOKUP($A146, 'Job Data'!$A$2:$P$220,2, FALSE)</f>
        <v>#N/A</v>
      </c>
      <c r="D146" s="5" t="e">
        <f>VLOOKUP($A146, 'Job Data'!$A$2:$P$220,3, FALSE)</f>
        <v>#N/A</v>
      </c>
      <c r="E146" s="5" t="e">
        <f>VLOOKUP($A146, 'Job Data'!$A$2:$P$220,14, FALSE)</f>
        <v>#N/A</v>
      </c>
    </row>
    <row r="147" spans="3:5">
      <c r="C147" s="5" t="e">
        <f>VLOOKUP($A147, 'Job Data'!$A$2:$P$220,2, FALSE)</f>
        <v>#N/A</v>
      </c>
      <c r="D147" s="5" t="e">
        <f>VLOOKUP($A147, 'Job Data'!$A$2:$P$220,3, FALSE)</f>
        <v>#N/A</v>
      </c>
      <c r="E147" s="5" t="e">
        <f>VLOOKUP($A147, 'Job Data'!$A$2:$P$220,14, FALSE)</f>
        <v>#N/A</v>
      </c>
    </row>
    <row r="148" spans="3:5">
      <c r="C148" s="5" t="e">
        <f>VLOOKUP($A148, 'Job Data'!$A$2:$P$220,2, FALSE)</f>
        <v>#N/A</v>
      </c>
      <c r="D148" s="5" t="e">
        <f>VLOOKUP($A148, 'Job Data'!$A$2:$P$220,3, FALSE)</f>
        <v>#N/A</v>
      </c>
      <c r="E148" s="5" t="e">
        <f>VLOOKUP($A148, 'Job Data'!$A$2:$P$220,14, FALSE)</f>
        <v>#N/A</v>
      </c>
    </row>
    <row r="149" spans="3:5">
      <c r="C149" s="5" t="e">
        <f>VLOOKUP($A149, 'Job Data'!$A$2:$P$220,2, FALSE)</f>
        <v>#N/A</v>
      </c>
      <c r="D149" s="5" t="e">
        <f>VLOOKUP($A149, 'Job Data'!$A$2:$P$220,3, FALSE)</f>
        <v>#N/A</v>
      </c>
      <c r="E149" s="5" t="e">
        <f>VLOOKUP($A149, 'Job Data'!$A$2:$P$220,14, FALSE)</f>
        <v>#N/A</v>
      </c>
    </row>
    <row r="150" spans="3:5">
      <c r="C150" s="5" t="e">
        <f>VLOOKUP($A150, 'Job Data'!$A$2:$P$220,2, FALSE)</f>
        <v>#N/A</v>
      </c>
      <c r="D150" s="5" t="e">
        <f>VLOOKUP($A150, 'Job Data'!$A$2:$P$220,3, FALSE)</f>
        <v>#N/A</v>
      </c>
      <c r="E150" s="5" t="e">
        <f>VLOOKUP($A150, 'Job Data'!$A$2:$P$220,14, FALSE)</f>
        <v>#N/A</v>
      </c>
    </row>
    <row r="151" spans="3:5">
      <c r="C151" s="5" t="e">
        <f>VLOOKUP($A151, 'Job Data'!$A$2:$P$220,2, FALSE)</f>
        <v>#N/A</v>
      </c>
      <c r="D151" s="5" t="e">
        <f>VLOOKUP($A151, 'Job Data'!$A$2:$P$220,3, FALSE)</f>
        <v>#N/A</v>
      </c>
      <c r="E151" s="5" t="e">
        <f>VLOOKUP($A151, 'Job Data'!$A$2:$P$220,14, FALSE)</f>
        <v>#N/A</v>
      </c>
    </row>
    <row r="152" spans="3:5">
      <c r="C152" s="5" t="e">
        <f>VLOOKUP($A152, 'Job Data'!$A$2:$P$220,2, FALSE)</f>
        <v>#N/A</v>
      </c>
      <c r="D152" s="5" t="e">
        <f>VLOOKUP($A152, 'Job Data'!$A$2:$P$220,3, FALSE)</f>
        <v>#N/A</v>
      </c>
      <c r="E152" s="5" t="e">
        <f>VLOOKUP($A152, 'Job Data'!$A$2:$P$220,14, FALSE)</f>
        <v>#N/A</v>
      </c>
    </row>
    <row r="153" spans="3:5">
      <c r="C153" s="5" t="e">
        <f>VLOOKUP($A153, 'Job Data'!$A$2:$P$220,2, FALSE)</f>
        <v>#N/A</v>
      </c>
      <c r="D153" s="5" t="e">
        <f>VLOOKUP($A153, 'Job Data'!$A$2:$P$220,3, FALSE)</f>
        <v>#N/A</v>
      </c>
      <c r="E153" s="5" t="e">
        <f>VLOOKUP($A153, 'Job Data'!$A$2:$P$220,14, FALSE)</f>
        <v>#N/A</v>
      </c>
    </row>
    <row r="154" spans="3:5">
      <c r="C154" s="5" t="e">
        <f>VLOOKUP($A154, 'Job Data'!$A$2:$P$220,2, FALSE)</f>
        <v>#N/A</v>
      </c>
      <c r="D154" s="5" t="e">
        <f>VLOOKUP($A154, 'Job Data'!$A$2:$P$220,3, FALSE)</f>
        <v>#N/A</v>
      </c>
      <c r="E154" s="5" t="e">
        <f>VLOOKUP($A154, 'Job Data'!$A$2:$P$220,14, FALSE)</f>
        <v>#N/A</v>
      </c>
    </row>
    <row r="155" spans="3:5">
      <c r="C155" s="5" t="e">
        <f>VLOOKUP($A155, 'Job Data'!$A$2:$P$220,2, FALSE)</f>
        <v>#N/A</v>
      </c>
      <c r="D155" s="5" t="e">
        <f>VLOOKUP($A155, 'Job Data'!$A$2:$P$220,3, FALSE)</f>
        <v>#N/A</v>
      </c>
      <c r="E155" s="5" t="e">
        <f>VLOOKUP($A155, 'Job Data'!$A$2:$P$220,14, FALSE)</f>
        <v>#N/A</v>
      </c>
    </row>
    <row r="156" spans="3:5">
      <c r="C156" s="5" t="e">
        <f>VLOOKUP($A156, 'Job Data'!$A$2:$P$220,2, FALSE)</f>
        <v>#N/A</v>
      </c>
      <c r="D156" s="5" t="e">
        <f>VLOOKUP($A156, 'Job Data'!$A$2:$P$220,3, FALSE)</f>
        <v>#N/A</v>
      </c>
      <c r="E156" s="5" t="e">
        <f>VLOOKUP($A156, 'Job Data'!$A$2:$P$220,14, FALSE)</f>
        <v>#N/A</v>
      </c>
    </row>
    <row r="157" spans="3:5">
      <c r="C157" s="5" t="e">
        <f>VLOOKUP($A157, 'Job Data'!$A$2:$P$220,2, FALSE)</f>
        <v>#N/A</v>
      </c>
      <c r="D157" s="5" t="e">
        <f>VLOOKUP($A157, 'Job Data'!$A$2:$P$220,3, FALSE)</f>
        <v>#N/A</v>
      </c>
      <c r="E157" s="5" t="e">
        <f>VLOOKUP($A157, 'Job Data'!$A$2:$P$220,14, FALSE)</f>
        <v>#N/A</v>
      </c>
    </row>
    <row r="158" spans="3:5">
      <c r="C158" s="5" t="e">
        <f>VLOOKUP($A158, 'Job Data'!$A$2:$P$220,2, FALSE)</f>
        <v>#N/A</v>
      </c>
      <c r="D158" s="5" t="e">
        <f>VLOOKUP($A158, 'Job Data'!$A$2:$P$220,3, FALSE)</f>
        <v>#N/A</v>
      </c>
      <c r="E158" s="5" t="e">
        <f>VLOOKUP($A158, 'Job Data'!$A$2:$P$220,14, FALSE)</f>
        <v>#N/A</v>
      </c>
    </row>
    <row r="159" spans="3:5">
      <c r="C159" s="5" t="e">
        <f>VLOOKUP($A159, 'Job Data'!$A$2:$P$220,2, FALSE)</f>
        <v>#N/A</v>
      </c>
      <c r="D159" s="5" t="e">
        <f>VLOOKUP($A159, 'Job Data'!$A$2:$P$220,3, FALSE)</f>
        <v>#N/A</v>
      </c>
      <c r="E159" s="5" t="e">
        <f>VLOOKUP($A159, 'Job Data'!$A$2:$P$220,14, FALSE)</f>
        <v>#N/A</v>
      </c>
    </row>
    <row r="160" spans="3:5">
      <c r="C160" s="5" t="e">
        <f>VLOOKUP($A160, 'Job Data'!$A$2:$P$220,2, FALSE)</f>
        <v>#N/A</v>
      </c>
      <c r="D160" s="5" t="e">
        <f>VLOOKUP($A160, 'Job Data'!$A$2:$P$220,3, FALSE)</f>
        <v>#N/A</v>
      </c>
      <c r="E160" s="5" t="e">
        <f>VLOOKUP($A160, 'Job Data'!$A$2:$P$220,14, FALSE)</f>
        <v>#N/A</v>
      </c>
    </row>
    <row r="161" spans="3:5">
      <c r="C161" s="5" t="e">
        <f>VLOOKUP($A161, 'Job Data'!$A$2:$P$220,2, FALSE)</f>
        <v>#N/A</v>
      </c>
      <c r="D161" s="5" t="e">
        <f>VLOOKUP($A161, 'Job Data'!$A$2:$P$220,3, FALSE)</f>
        <v>#N/A</v>
      </c>
      <c r="E161" s="5" t="e">
        <f>VLOOKUP($A161, 'Job Data'!$A$2:$P$220,14, FALSE)</f>
        <v>#N/A</v>
      </c>
    </row>
    <row r="162" spans="3:5">
      <c r="C162" s="5" t="e">
        <f>VLOOKUP($A162, 'Job Data'!$A$2:$P$220,2, FALSE)</f>
        <v>#N/A</v>
      </c>
      <c r="D162" s="5" t="e">
        <f>VLOOKUP($A162, 'Job Data'!$A$2:$P$220,3, FALSE)</f>
        <v>#N/A</v>
      </c>
      <c r="E162" s="5" t="e">
        <f>VLOOKUP($A162, 'Job Data'!$A$2:$P$220,14, FALSE)</f>
        <v>#N/A</v>
      </c>
    </row>
    <row r="163" spans="3:5">
      <c r="C163" s="5" t="e">
        <f>VLOOKUP($A163, 'Job Data'!$A$2:$P$220,2, FALSE)</f>
        <v>#N/A</v>
      </c>
      <c r="D163" s="5" t="e">
        <f>VLOOKUP($A163, 'Job Data'!$A$2:$P$220,3, FALSE)</f>
        <v>#N/A</v>
      </c>
      <c r="E163" s="5" t="e">
        <f>VLOOKUP($A163, 'Job Data'!$A$2:$P$220,14, FALSE)</f>
        <v>#N/A</v>
      </c>
    </row>
    <row r="164" spans="3:5">
      <c r="C164" s="5" t="e">
        <f>VLOOKUP($A164, 'Job Data'!$A$2:$P$220,2, FALSE)</f>
        <v>#N/A</v>
      </c>
      <c r="D164" s="5" t="e">
        <f>VLOOKUP($A164, 'Job Data'!$A$2:$P$220,3, FALSE)</f>
        <v>#N/A</v>
      </c>
      <c r="E164" s="5" t="e">
        <f>VLOOKUP($A164, 'Job Data'!$A$2:$P$220,14, FALSE)</f>
        <v>#N/A</v>
      </c>
    </row>
    <row r="165" spans="3:5">
      <c r="C165" s="5" t="e">
        <f>VLOOKUP($A165, 'Job Data'!$A$2:$P$220,2, FALSE)</f>
        <v>#N/A</v>
      </c>
      <c r="D165" s="5" t="e">
        <f>VLOOKUP($A165, 'Job Data'!$A$2:$P$220,3, FALSE)</f>
        <v>#N/A</v>
      </c>
      <c r="E165" s="5" t="e">
        <f>VLOOKUP($A165, 'Job Data'!$A$2:$P$220,14, FALSE)</f>
        <v>#N/A</v>
      </c>
    </row>
    <row r="166" spans="3:5">
      <c r="C166" s="5" t="e">
        <f>VLOOKUP($A166, 'Job Data'!$A$2:$P$220,2, FALSE)</f>
        <v>#N/A</v>
      </c>
      <c r="D166" s="5" t="e">
        <f>VLOOKUP($A166, 'Job Data'!$A$2:$P$220,3, FALSE)</f>
        <v>#N/A</v>
      </c>
      <c r="E166" s="5" t="e">
        <f>VLOOKUP($A166, 'Job Data'!$A$2:$P$220,14, FALSE)</f>
        <v>#N/A</v>
      </c>
    </row>
    <row r="167" spans="3:5">
      <c r="C167" s="5" t="e">
        <f>VLOOKUP($A167, 'Job Data'!$A$2:$P$220,2, FALSE)</f>
        <v>#N/A</v>
      </c>
      <c r="D167" s="5" t="e">
        <f>VLOOKUP($A167, 'Job Data'!$A$2:$P$220,3, FALSE)</f>
        <v>#N/A</v>
      </c>
      <c r="E167" s="5" t="e">
        <f>VLOOKUP($A167, 'Job Data'!$A$2:$P$220,14, FALSE)</f>
        <v>#N/A</v>
      </c>
    </row>
    <row r="168" spans="3:5">
      <c r="C168" s="5" t="e">
        <f>VLOOKUP($A168, 'Job Data'!$A$2:$P$220,2, FALSE)</f>
        <v>#N/A</v>
      </c>
      <c r="D168" s="5" t="e">
        <f>VLOOKUP($A168, 'Job Data'!$A$2:$P$220,3, FALSE)</f>
        <v>#N/A</v>
      </c>
      <c r="E168" s="5" t="e">
        <f>VLOOKUP($A168, 'Job Data'!$A$2:$P$220,14, FALSE)</f>
        <v>#N/A</v>
      </c>
    </row>
    <row r="169" spans="3:5">
      <c r="C169" s="5" t="e">
        <f>VLOOKUP($A169, 'Job Data'!$A$2:$P$220,2, FALSE)</f>
        <v>#N/A</v>
      </c>
      <c r="D169" s="5" t="e">
        <f>VLOOKUP($A169, 'Job Data'!$A$2:$P$220,3, FALSE)</f>
        <v>#N/A</v>
      </c>
      <c r="E169" s="5" t="e">
        <f>VLOOKUP($A169, 'Job Data'!$A$2:$P$220,14, FALSE)</f>
        <v>#N/A</v>
      </c>
    </row>
    <row r="170" spans="3:5">
      <c r="C170" s="5" t="e">
        <f>VLOOKUP($A170, 'Job Data'!$A$2:$P$220,2, FALSE)</f>
        <v>#N/A</v>
      </c>
      <c r="D170" s="5" t="e">
        <f>VLOOKUP($A170, 'Job Data'!$A$2:$P$220,3, FALSE)</f>
        <v>#N/A</v>
      </c>
      <c r="E170" s="5" t="e">
        <f>VLOOKUP($A170, 'Job Data'!$A$2:$P$220,14, FALSE)</f>
        <v>#N/A</v>
      </c>
    </row>
    <row r="171" spans="3:5">
      <c r="C171" s="5" t="e">
        <f>VLOOKUP($A171, 'Job Data'!$A$2:$P$220,2, FALSE)</f>
        <v>#N/A</v>
      </c>
      <c r="D171" s="5" t="e">
        <f>VLOOKUP($A171, 'Job Data'!$A$2:$P$220,3, FALSE)</f>
        <v>#N/A</v>
      </c>
      <c r="E171" s="5" t="e">
        <f>VLOOKUP($A171, 'Job Data'!$A$2:$P$220,14, FALSE)</f>
        <v>#N/A</v>
      </c>
    </row>
    <row r="172" spans="3:5">
      <c r="C172" s="5" t="e">
        <f>VLOOKUP($A172, 'Job Data'!$A$2:$P$220,2, FALSE)</f>
        <v>#N/A</v>
      </c>
      <c r="D172" s="5" t="e">
        <f>VLOOKUP($A172, 'Job Data'!$A$2:$P$220,3, FALSE)</f>
        <v>#N/A</v>
      </c>
      <c r="E172" s="5" t="e">
        <f>VLOOKUP($A172, 'Job Data'!$A$2:$P$220,14, FALSE)</f>
        <v>#N/A</v>
      </c>
    </row>
    <row r="173" spans="3:5">
      <c r="C173" s="5" t="e">
        <f>VLOOKUP($A173, 'Job Data'!$A$2:$P$220,2, FALSE)</f>
        <v>#N/A</v>
      </c>
      <c r="D173" s="5" t="e">
        <f>VLOOKUP($A173, 'Job Data'!$A$2:$P$220,3, FALSE)</f>
        <v>#N/A</v>
      </c>
      <c r="E173" s="5" t="e">
        <f>VLOOKUP($A173, 'Job Data'!$A$2:$P$220,14, FALSE)</f>
        <v>#N/A</v>
      </c>
    </row>
    <row r="174" spans="3:5">
      <c r="C174" s="5" t="e">
        <f>VLOOKUP($A174, 'Job Data'!$A$2:$P$220,2, FALSE)</f>
        <v>#N/A</v>
      </c>
      <c r="D174" s="5" t="e">
        <f>VLOOKUP($A174, 'Job Data'!$A$2:$P$220,3, FALSE)</f>
        <v>#N/A</v>
      </c>
      <c r="E174" s="5" t="e">
        <f>VLOOKUP($A174, 'Job Data'!$A$2:$P$220,14, FALSE)</f>
        <v>#N/A</v>
      </c>
    </row>
    <row r="175" spans="3:5">
      <c r="C175" s="5" t="e">
        <f>VLOOKUP($A175, 'Job Data'!$A$2:$P$220,2, FALSE)</f>
        <v>#N/A</v>
      </c>
      <c r="D175" s="5" t="e">
        <f>VLOOKUP($A175, 'Job Data'!$A$2:$P$220,3, FALSE)</f>
        <v>#N/A</v>
      </c>
      <c r="E175" s="5" t="e">
        <f>VLOOKUP($A175, 'Job Data'!$A$2:$P$220,14, FALSE)</f>
        <v>#N/A</v>
      </c>
    </row>
    <row r="176" spans="3:5">
      <c r="C176" s="5" t="e">
        <f>VLOOKUP($A176, 'Job Data'!$A$2:$P$220,2, FALSE)</f>
        <v>#N/A</v>
      </c>
      <c r="D176" s="5" t="e">
        <f>VLOOKUP($A176, 'Job Data'!$A$2:$P$220,3, FALSE)</f>
        <v>#N/A</v>
      </c>
      <c r="E176" s="5" t="e">
        <f>VLOOKUP($A176, 'Job Data'!$A$2:$P$220,14, FALSE)</f>
        <v>#N/A</v>
      </c>
    </row>
    <row r="177" spans="3:5">
      <c r="C177" s="5" t="e">
        <f>VLOOKUP($A177, 'Job Data'!$A$2:$P$220,2, FALSE)</f>
        <v>#N/A</v>
      </c>
      <c r="D177" s="5" t="e">
        <f>VLOOKUP($A177, 'Job Data'!$A$2:$P$220,3, FALSE)</f>
        <v>#N/A</v>
      </c>
      <c r="E177" s="5" t="e">
        <f>VLOOKUP($A177, 'Job Data'!$A$2:$P$220,14, FALSE)</f>
        <v>#N/A</v>
      </c>
    </row>
    <row r="178" spans="3:5">
      <c r="C178" s="5" t="e">
        <f>VLOOKUP($A178, 'Job Data'!$A$2:$P$220,2, FALSE)</f>
        <v>#N/A</v>
      </c>
      <c r="D178" s="5" t="e">
        <f>VLOOKUP($A178, 'Job Data'!$A$2:$P$220,3, FALSE)</f>
        <v>#N/A</v>
      </c>
      <c r="E178" s="5" t="e">
        <f>VLOOKUP($A178, 'Job Data'!$A$2:$P$220,14, FALSE)</f>
        <v>#N/A</v>
      </c>
    </row>
    <row r="179" spans="3:5">
      <c r="C179" s="5" t="e">
        <f>VLOOKUP($A179, 'Job Data'!$A$2:$P$220,2, FALSE)</f>
        <v>#N/A</v>
      </c>
      <c r="D179" s="5" t="e">
        <f>VLOOKUP($A179, 'Job Data'!$A$2:$P$220,3, FALSE)</f>
        <v>#N/A</v>
      </c>
      <c r="E179" s="5" t="e">
        <f>VLOOKUP($A179, 'Job Data'!$A$2:$P$220,14, FALSE)</f>
        <v>#N/A</v>
      </c>
    </row>
    <row r="180" spans="3:5">
      <c r="C180" s="5" t="e">
        <f>VLOOKUP($A180, 'Job Data'!$A$2:$P$220,2, FALSE)</f>
        <v>#N/A</v>
      </c>
      <c r="D180" s="5" t="e">
        <f>VLOOKUP($A180, 'Job Data'!$A$2:$P$220,3, FALSE)</f>
        <v>#N/A</v>
      </c>
      <c r="E180" s="5" t="e">
        <f>VLOOKUP($A180, 'Job Data'!$A$2:$P$220,14, FALSE)</f>
        <v>#N/A</v>
      </c>
    </row>
    <row r="181" spans="3:5">
      <c r="C181" s="5" t="e">
        <f>VLOOKUP($A181, 'Job Data'!$A$2:$P$220,2, FALSE)</f>
        <v>#N/A</v>
      </c>
      <c r="D181" s="5" t="e">
        <f>VLOOKUP($A181, 'Job Data'!$A$2:$P$220,3, FALSE)</f>
        <v>#N/A</v>
      </c>
      <c r="E181" s="5" t="e">
        <f>VLOOKUP($A181, 'Job Data'!$A$2:$P$220,14, FALSE)</f>
        <v>#N/A</v>
      </c>
    </row>
    <row r="182" spans="3:5">
      <c r="C182" s="5" t="e">
        <f>VLOOKUP($A182, 'Job Data'!$A$2:$P$220,2, FALSE)</f>
        <v>#N/A</v>
      </c>
      <c r="D182" s="5" t="e">
        <f>VLOOKUP($A182, 'Job Data'!$A$2:$P$220,3, FALSE)</f>
        <v>#N/A</v>
      </c>
      <c r="E182" s="5" t="e">
        <f>VLOOKUP($A182, 'Job Data'!$A$2:$P$220,14, FALSE)</f>
        <v>#N/A</v>
      </c>
    </row>
    <row r="183" spans="3:5">
      <c r="C183" s="5" t="e">
        <f>VLOOKUP($A183, 'Job Data'!$A$2:$P$220,2, FALSE)</f>
        <v>#N/A</v>
      </c>
      <c r="D183" s="5" t="e">
        <f>VLOOKUP($A183, 'Job Data'!$A$2:$P$220,3, FALSE)</f>
        <v>#N/A</v>
      </c>
      <c r="E183" s="5" t="e">
        <f>VLOOKUP($A183, 'Job Data'!$A$2:$P$220,14, FALSE)</f>
        <v>#N/A</v>
      </c>
    </row>
    <row r="184" spans="3:5">
      <c r="C184" s="5" t="e">
        <f>VLOOKUP($A184, 'Job Data'!$A$2:$P$220,2, FALSE)</f>
        <v>#N/A</v>
      </c>
      <c r="D184" s="5" t="e">
        <f>VLOOKUP($A184, 'Job Data'!$A$2:$P$220,3, FALSE)</f>
        <v>#N/A</v>
      </c>
      <c r="E184" s="5" t="e">
        <f>VLOOKUP($A184, 'Job Data'!$A$2:$P$220,14, FALSE)</f>
        <v>#N/A</v>
      </c>
    </row>
    <row r="185" spans="3:5">
      <c r="C185" s="5" t="e">
        <f>VLOOKUP($A185, 'Job Data'!$A$2:$P$220,2, FALSE)</f>
        <v>#N/A</v>
      </c>
      <c r="D185" s="5" t="e">
        <f>VLOOKUP($A185, 'Job Data'!$A$2:$P$220,3, FALSE)</f>
        <v>#N/A</v>
      </c>
      <c r="E185" s="5" t="e">
        <f>VLOOKUP($A185, 'Job Data'!$A$2:$P$220,14, FALSE)</f>
        <v>#N/A</v>
      </c>
    </row>
    <row r="186" spans="3:5">
      <c r="C186" s="5" t="e">
        <f>VLOOKUP($A186, 'Job Data'!$A$2:$P$220,2, FALSE)</f>
        <v>#N/A</v>
      </c>
      <c r="D186" s="5" t="e">
        <f>VLOOKUP($A186, 'Job Data'!$A$2:$P$220,3, FALSE)</f>
        <v>#N/A</v>
      </c>
      <c r="E186" s="5" t="e">
        <f>VLOOKUP($A186, 'Job Data'!$A$2:$P$220,14, FALSE)</f>
        <v>#N/A</v>
      </c>
    </row>
    <row r="187" spans="3:5">
      <c r="C187" s="5" t="e">
        <f>VLOOKUP($A187, 'Job Data'!$A$2:$P$220,2, FALSE)</f>
        <v>#N/A</v>
      </c>
      <c r="D187" s="5" t="e">
        <f>VLOOKUP($A187, 'Job Data'!$A$2:$P$220,3, FALSE)</f>
        <v>#N/A</v>
      </c>
      <c r="E187" s="5" t="e">
        <f>VLOOKUP($A187, 'Job Data'!$A$2:$P$220,14, FALSE)</f>
        <v>#N/A</v>
      </c>
    </row>
    <row r="188" spans="3:5">
      <c r="C188" s="5" t="e">
        <f>VLOOKUP($A188, 'Job Data'!$A$2:$P$220,2, FALSE)</f>
        <v>#N/A</v>
      </c>
      <c r="D188" s="5" t="e">
        <f>VLOOKUP($A188, 'Job Data'!$A$2:$P$220,3, FALSE)</f>
        <v>#N/A</v>
      </c>
      <c r="E188" s="5" t="e">
        <f>VLOOKUP($A188, 'Job Data'!$A$2:$P$220,14, FALSE)</f>
        <v>#N/A</v>
      </c>
    </row>
    <row r="189" spans="3:5">
      <c r="C189" s="5" t="e">
        <f>VLOOKUP($A189, 'Job Data'!$A$2:$P$220,2, FALSE)</f>
        <v>#N/A</v>
      </c>
      <c r="D189" s="5" t="e">
        <f>VLOOKUP($A189, 'Job Data'!$A$2:$P$220,3, FALSE)</f>
        <v>#N/A</v>
      </c>
      <c r="E189" s="5" t="e">
        <f>VLOOKUP($A189, 'Job Data'!$A$2:$P$220,14, FALSE)</f>
        <v>#N/A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C03FD-E5C4-43A2-83A4-82BC54296E54}">
  <sheetPr codeName="Sheet7"/>
  <dimension ref="A1:H133"/>
  <sheetViews>
    <sheetView topLeftCell="A58" zoomScale="80" zoomScaleNormal="80" workbookViewId="0">
      <selection activeCell="G33" sqref="G33"/>
    </sheetView>
  </sheetViews>
  <sheetFormatPr defaultRowHeight="14.5"/>
  <cols>
    <col min="1" max="1" width="19.453125" bestFit="1" customWidth="1"/>
    <col min="2" max="2" width="18.453125" bestFit="1" customWidth="1"/>
    <col min="3" max="3" width="26.453125" customWidth="1"/>
    <col min="4" max="4" width="37.453125" customWidth="1"/>
    <col min="5" max="5" width="50.453125" customWidth="1"/>
    <col min="6" max="6" width="37.1796875" hidden="1" customWidth="1"/>
    <col min="7" max="7" width="83" customWidth="1"/>
    <col min="8" max="8" width="19.453125" bestFit="1" customWidth="1"/>
    <col min="9" max="9" width="18.453125" bestFit="1" customWidth="1"/>
    <col min="10" max="10" width="37.1796875" bestFit="1" customWidth="1"/>
    <col min="11" max="11" width="13.453125" bestFit="1" customWidth="1"/>
    <col min="12" max="12" width="21" bestFit="1" customWidth="1"/>
    <col min="13" max="13" width="20.1796875" bestFit="1" customWidth="1"/>
    <col min="14" max="14" width="12" bestFit="1" customWidth="1"/>
    <col min="15" max="15" width="21.1796875" bestFit="1" customWidth="1"/>
    <col min="16" max="16" width="7.81640625" bestFit="1" customWidth="1"/>
    <col min="17" max="17" width="11.453125" bestFit="1" customWidth="1"/>
    <col min="18" max="18" width="29.453125" bestFit="1" customWidth="1"/>
    <col min="19" max="19" width="27.81640625" bestFit="1" customWidth="1"/>
    <col min="20" max="20" width="31.453125" bestFit="1" customWidth="1"/>
    <col min="21" max="21" width="14.453125" bestFit="1" customWidth="1"/>
    <col min="22" max="22" width="21.1796875" bestFit="1" customWidth="1"/>
    <col min="23" max="23" width="14.453125" bestFit="1" customWidth="1"/>
    <col min="24" max="24" width="10.453125" bestFit="1" customWidth="1"/>
    <col min="25" max="25" width="9.453125" bestFit="1" customWidth="1"/>
    <col min="26" max="26" width="7.1796875" bestFit="1" customWidth="1"/>
    <col min="27" max="27" width="6.453125" bestFit="1" customWidth="1"/>
    <col min="28" max="28" width="4.1796875" bestFit="1" customWidth="1"/>
    <col min="29" max="29" width="11.453125" bestFit="1" customWidth="1"/>
    <col min="30" max="30" width="17.453125" bestFit="1" customWidth="1"/>
    <col min="31" max="31" width="5" bestFit="1" customWidth="1"/>
    <col min="32" max="32" width="7.1796875" bestFit="1" customWidth="1"/>
    <col min="33" max="33" width="8.1796875" bestFit="1" customWidth="1"/>
    <col min="34" max="35" width="9.453125" bestFit="1" customWidth="1"/>
    <col min="36" max="36" width="7.1796875" bestFit="1" customWidth="1"/>
    <col min="37" max="37" width="6.453125" bestFit="1" customWidth="1"/>
    <col min="38" max="38" width="4.1796875" bestFit="1" customWidth="1"/>
    <col min="39" max="39" width="11.453125" bestFit="1" customWidth="1"/>
    <col min="40" max="40" width="15.81640625" bestFit="1" customWidth="1"/>
    <col min="41" max="41" width="5" bestFit="1" customWidth="1"/>
    <col min="42" max="42" width="7.1796875" bestFit="1" customWidth="1"/>
    <col min="43" max="43" width="8.1796875" bestFit="1" customWidth="1"/>
    <col min="44" max="45" width="9.453125" bestFit="1" customWidth="1"/>
    <col min="46" max="46" width="7.1796875" bestFit="1" customWidth="1"/>
    <col min="47" max="47" width="6.453125" bestFit="1" customWidth="1"/>
    <col min="48" max="48" width="4.1796875" bestFit="1" customWidth="1"/>
    <col min="49" max="49" width="11.453125" bestFit="1" customWidth="1"/>
    <col min="50" max="50" width="15.81640625" bestFit="1" customWidth="1"/>
    <col min="51" max="51" width="5" bestFit="1" customWidth="1"/>
    <col min="52" max="52" width="7.1796875" bestFit="1" customWidth="1"/>
    <col min="53" max="53" width="8.1796875" bestFit="1" customWidth="1"/>
    <col min="54" max="55" width="9.453125" bestFit="1" customWidth="1"/>
    <col min="56" max="56" width="7.1796875" bestFit="1" customWidth="1"/>
    <col min="57" max="57" width="6.453125" bestFit="1" customWidth="1"/>
    <col min="58" max="58" width="4.1796875" bestFit="1" customWidth="1"/>
    <col min="59" max="59" width="11.453125" bestFit="1" customWidth="1"/>
    <col min="60" max="60" width="40.81640625" bestFit="1" customWidth="1"/>
    <col min="61" max="61" width="43.453125" bestFit="1" customWidth="1"/>
    <col min="62" max="62" width="18.453125" bestFit="1" customWidth="1"/>
    <col min="63" max="63" width="22.1796875" bestFit="1" customWidth="1"/>
    <col min="64" max="64" width="19.453125" bestFit="1" customWidth="1"/>
    <col min="65" max="65" width="20.453125" bestFit="1" customWidth="1"/>
    <col min="66" max="124" width="38.81640625" bestFit="1" customWidth="1"/>
    <col min="125" max="125" width="40.81640625" bestFit="1" customWidth="1"/>
    <col min="126" max="126" width="43.453125" bestFit="1" customWidth="1"/>
    <col min="127" max="127" width="18.453125" bestFit="1" customWidth="1"/>
    <col min="128" max="128" width="22.1796875" bestFit="1" customWidth="1"/>
    <col min="129" max="129" width="19.453125" bestFit="1" customWidth="1"/>
    <col min="130" max="130" width="20.453125" bestFit="1" customWidth="1"/>
    <col min="131" max="256" width="38.81640625" bestFit="1" customWidth="1"/>
    <col min="257" max="257" width="40.81640625" bestFit="1" customWidth="1"/>
    <col min="258" max="258" width="43.453125" bestFit="1" customWidth="1"/>
    <col min="259" max="259" width="18.453125" bestFit="1" customWidth="1"/>
    <col min="260" max="260" width="22.1796875" bestFit="1" customWidth="1"/>
    <col min="261" max="261" width="19.453125" bestFit="1" customWidth="1"/>
    <col min="262" max="263" width="20.453125" bestFit="1" customWidth="1"/>
  </cols>
  <sheetData>
    <row r="1" spans="1:8" ht="30" customHeight="1">
      <c r="A1" s="22" t="s">
        <v>8</v>
      </c>
      <c r="B1" s="22" t="s">
        <v>193</v>
      </c>
    </row>
    <row r="2" spans="1:8" ht="30" customHeight="1">
      <c r="A2" s="22" t="s">
        <v>5</v>
      </c>
      <c r="B2" s="22" t="s">
        <v>193</v>
      </c>
    </row>
    <row r="3" spans="1:8" ht="30" customHeight="1">
      <c r="A3" s="22" t="s">
        <v>2</v>
      </c>
      <c r="B3" s="22" t="s">
        <v>68</v>
      </c>
    </row>
    <row r="4" spans="1:8" ht="30" customHeight="1">
      <c r="A4" s="22" t="s">
        <v>3</v>
      </c>
      <c r="B4" s="22" t="s">
        <v>193</v>
      </c>
    </row>
    <row r="6" spans="1:8" ht="30.65" customHeight="1">
      <c r="A6" s="21" t="s">
        <v>194</v>
      </c>
      <c r="B6" s="21" t="s">
        <v>195</v>
      </c>
      <c r="C6" s="17" t="s">
        <v>2</v>
      </c>
      <c r="D6" s="17" t="s">
        <v>3</v>
      </c>
      <c r="E6" s="17" t="s">
        <v>14</v>
      </c>
      <c r="G6" s="15"/>
    </row>
    <row r="7" spans="1:8" ht="24.65" customHeight="1">
      <c r="A7" s="18" t="s">
        <v>219</v>
      </c>
      <c r="B7" s="18">
        <v>1</v>
      </c>
      <c r="C7" s="7" t="str">
        <f>VLOOKUP($A7, 'Job Data'!$A$2:$P$220,2, FALSE)</f>
        <v>MRL</v>
      </c>
      <c r="D7" s="7" t="str">
        <f>VLOOKUP($A7, 'Job Data'!$A$2:$P$220,3, FALSE)</f>
        <v>Wodgina</v>
      </c>
      <c r="E7" s="7" t="str">
        <f>VLOOKUP($A7, 'Job Data'!$A$2:$P$220,14, FALSE)</f>
        <v>AQ0006 Wodina Train 4</v>
      </c>
      <c r="F7" s="1" t="str">
        <f>VLOOKUP($A7, 'Job Data'!$A$2:$P$220,15, FALSE)</f>
        <v>C:\Users\wubia\OneDrive - Longi Magnet Australia Pty ltd\Documents - Longi Australia\03 Project Management\Client\MRL\Wodgina\AQ0006 Wodina Train 4</v>
      </c>
      <c r="G7" s="16" t="str">
        <f t="shared" ref="G7:G38" si="0">HYPERLINK(SUBSTITUTE(SUBSTITUTE(F7, "C:\Users\wubia\OneDrive - Longi Magnet Australia Pty ltd\Documents - Longi Australia", "C:\Users\lucaliu\Longi Magnet Australia Pty ltd\Longi Australia - Documents"), "\\", "\\"),"Open Project Folder")</f>
        <v>Open Project Folder</v>
      </c>
      <c r="H7" s="1"/>
    </row>
    <row r="8" spans="1:8" ht="24.65" customHeight="1">
      <c r="A8" s="7" t="s">
        <v>225</v>
      </c>
      <c r="B8" s="7">
        <v>1</v>
      </c>
      <c r="C8" s="7" t="str">
        <f>VLOOKUP($A8, 'Job Data'!$A$2:$P$220,2, FALSE)</f>
        <v>MRL</v>
      </c>
      <c r="D8" s="7" t="str">
        <f>VLOOKUP($A8, 'Job Data'!$A$2:$P$220,3, FALSE)</f>
        <v>Mt Marion</v>
      </c>
      <c r="E8" s="7" t="str">
        <f>VLOOKUP($A8, 'Job Data'!$A$2:$P$220,14, FALSE)</f>
        <v>AS0001 Service</v>
      </c>
      <c r="F8" s="1" t="str">
        <f>VLOOKUP($A8, 'Job Data'!$A$2:$P$220,15, FALSE)</f>
        <v>C:\Users\wubia\OneDrive - Longi Magnet Australia Pty ltd\Documents - Longi Australia\03 Project Management\Client\MRL\Mt Marion\AS0001 Service</v>
      </c>
      <c r="G8" s="16" t="str">
        <f t="shared" si="0"/>
        <v>Open Project Folder</v>
      </c>
      <c r="H8" s="1"/>
    </row>
    <row r="9" spans="1:8" ht="24.65" customHeight="1">
      <c r="A9" s="24" t="s">
        <v>266</v>
      </c>
      <c r="B9" s="24">
        <v>1</v>
      </c>
      <c r="C9" s="7" t="str">
        <f>VLOOKUP($A9, 'Job Data'!$A$2:$P$220,2, FALSE)</f>
        <v>MRL</v>
      </c>
      <c r="D9" s="7" t="str">
        <f>VLOOKUP($A9, 'Job Data'!$A$2:$P$220,3, FALSE)</f>
        <v>Mt Marion</v>
      </c>
      <c r="E9" s="7" t="str">
        <f>VLOOKUP($A9, 'Job Data'!$A$2:$P$220,14, FALSE)</f>
        <v>AQ0022 LIMS and WHIMS(Minsol)</v>
      </c>
      <c r="F9" s="1" t="str">
        <f>VLOOKUP($A9, 'Job Data'!$A$2:$P$220,15, FALSE)</f>
        <v>C:\Users\wubia\OneDrive - Longi Magnet Australia Pty ltd\Documents - Longi Australia\03 Project Management\Client\MRL\Mt Marion\AQ0022 LIMS and WHIMS(Minsol)</v>
      </c>
      <c r="G9" s="16" t="str">
        <f t="shared" si="0"/>
        <v>Open Project Folder</v>
      </c>
      <c r="H9" s="1"/>
    </row>
    <row r="10" spans="1:8" ht="24.65" customHeight="1">
      <c r="A10" s="24" t="s">
        <v>289</v>
      </c>
      <c r="B10" s="24">
        <v>1</v>
      </c>
      <c r="C10" s="7" t="str">
        <f>VLOOKUP($A10, 'Job Data'!$A$2:$P$220,2, FALSE)</f>
        <v>MRL</v>
      </c>
      <c r="D10" s="7" t="str">
        <f>VLOOKUP($A10, 'Job Data'!$A$2:$P$220,3, FALSE)</f>
        <v>Mt Marion</v>
      </c>
      <c r="E10" s="7" t="str">
        <f>VLOOKUP($A10, 'Job Data'!$A$2:$P$220,14, FALSE)</f>
        <v>AS0004 LIMS Service</v>
      </c>
      <c r="F10" s="1" t="str">
        <f>VLOOKUP($A10, 'Job Data'!$A$2:$P$220,15, FALSE)</f>
        <v>C:\Users\wubia\OneDrive - Longi Magnet Australia Pty ltd\Documents - Longi Australia\03 Project Management\Client\MRL\Mt Marion\AS0004 LIMS Service</v>
      </c>
      <c r="G10" s="16" t="str">
        <f t="shared" si="0"/>
        <v>Open Project Folder</v>
      </c>
      <c r="H10" s="1"/>
    </row>
    <row r="11" spans="1:8" ht="24.65" customHeight="1">
      <c r="A11" s="24" t="s">
        <v>290</v>
      </c>
      <c r="B11" s="24">
        <v>1</v>
      </c>
      <c r="C11" s="7" t="str">
        <f>VLOOKUP($A11, 'Job Data'!$A$2:$P$220,2, FALSE)</f>
        <v>MRL</v>
      </c>
      <c r="D11" s="7" t="str">
        <f>VLOOKUP($A11, 'Job Data'!$A$2:$P$220,3, FALSE)</f>
        <v>Wodgina</v>
      </c>
      <c r="E11" s="7" t="str">
        <f>VLOOKUP($A11, 'Job Data'!$A$2:$P$220,14, FALSE)</f>
        <v>AS0005 WHIMS Service</v>
      </c>
      <c r="F11" s="1" t="str">
        <f>VLOOKUP($A11, 'Job Data'!$A$2:$P$220,15, FALSE)</f>
        <v>C:\Users\wubia\OneDrive - Longi Magnet Australia Pty ltd\Documents - Longi Australia\03 Project Management\Client\MRL\Wodgina\AS0005 WHIMS Service</v>
      </c>
      <c r="G11" s="16" t="str">
        <f t="shared" si="0"/>
        <v>Open Project Folder</v>
      </c>
      <c r="H11" s="1"/>
    </row>
    <row r="12" spans="1:8" ht="24.65" customHeight="1">
      <c r="A12" s="24" t="s">
        <v>326</v>
      </c>
      <c r="B12" s="24">
        <v>1</v>
      </c>
      <c r="C12" s="7" t="str">
        <f>VLOOKUP($A12, 'Job Data'!$A$2:$P$220,2, FALSE)</f>
        <v>MRL</v>
      </c>
      <c r="D12" s="7" t="str">
        <f>VLOOKUP($A12, 'Job Data'!$A$2:$P$220,3, FALSE)</f>
        <v>Mt Marion</v>
      </c>
      <c r="E12" s="7" t="str">
        <f>VLOOKUP($A12, 'Job Data'!$A$2:$P$220,14, FALSE)</f>
        <v>AQ0025 Heat Exchanger Upgade</v>
      </c>
      <c r="F12" s="1" t="str">
        <f>VLOOKUP($A12, 'Job Data'!$A$2:$P$220,15, FALSE)</f>
        <v>..\Client\MRL\Mt Marion\AQ0025 Heat Exchanger Upgade</v>
      </c>
      <c r="G12" s="16" t="str">
        <f t="shared" si="0"/>
        <v>Open Project Folder</v>
      </c>
      <c r="H12" s="1"/>
    </row>
    <row r="13" spans="1:8" ht="24.65" customHeight="1">
      <c r="A13" s="24" t="s">
        <v>381</v>
      </c>
      <c r="B13" s="24">
        <v>1</v>
      </c>
      <c r="C13" s="7" t="str">
        <f>VLOOKUP($A13, 'Job Data'!$A$2:$P$220,2, FALSE)</f>
        <v>MRL</v>
      </c>
      <c r="D13" s="7" t="str">
        <f>VLOOKUP($A13, 'Job Data'!$A$2:$P$220,3, FALSE)</f>
        <v>Mt Marion</v>
      </c>
      <c r="E13" s="7" t="str">
        <f>VLOOKUP($A13, 'Job Data'!$A$2:$P$220,14, FALSE)</f>
        <v>AQ0029 WHIMS SPARES</v>
      </c>
      <c r="F13" s="1" t="str">
        <f>VLOOKUP($A13, 'Job Data'!$A$2:$P$220,15, FALSE)</f>
        <v>C:\Users\wubia\OneDrive - Longi Magnet Australia Pty ltd\Documents - Longi Australia\03 Project Management\Client\MRL\Mt Marion\AQ0029 WHIMS SPARES</v>
      </c>
      <c r="G13" s="16" t="str">
        <f t="shared" si="0"/>
        <v>Open Project Folder</v>
      </c>
      <c r="H13" s="1"/>
    </row>
    <row r="14" spans="1:8" ht="24.65" customHeight="1">
      <c r="A14" s="24" t="s">
        <v>383</v>
      </c>
      <c r="B14" s="24">
        <v>1</v>
      </c>
      <c r="C14" s="7" t="str">
        <f>VLOOKUP($A14, 'Job Data'!$A$2:$P$220,2, FALSE)</f>
        <v>MRL</v>
      </c>
      <c r="D14" s="7" t="str">
        <f>VLOOKUP($A14, 'Job Data'!$A$2:$P$220,3, FALSE)</f>
        <v>Mt Marion</v>
      </c>
      <c r="E14" s="7" t="str">
        <f>VLOOKUP($A14, 'Job Data'!$A$2:$P$220,14, FALSE)</f>
        <v>AQ0031 WHIMS SPARES</v>
      </c>
      <c r="F14" s="1" t="str">
        <f>VLOOKUP($A14, 'Job Data'!$A$2:$P$220,15, FALSE)</f>
        <v>C:\Users\wubia\OneDrive - Longi Magnet Australia Pty ltd\Documents - Longi Australia\03 Project Management\Client\MRL\Mt Marion\AQ0031 WHIMS SPARES</v>
      </c>
      <c r="G14" s="16" t="str">
        <f t="shared" si="0"/>
        <v>Open Project Folder</v>
      </c>
      <c r="H14" s="1"/>
    </row>
    <row r="15" spans="1:8" ht="24.65" customHeight="1">
      <c r="A15" s="24" t="s">
        <v>388</v>
      </c>
      <c r="B15" s="24">
        <v>1</v>
      </c>
      <c r="C15" s="7" t="str">
        <f>VLOOKUP($A15, 'Job Data'!$A$2:$P$220,2, FALSE)</f>
        <v>MRL</v>
      </c>
      <c r="D15" s="7" t="str">
        <f>VLOOKUP($A15, 'Job Data'!$A$2:$P$220,3, FALSE)</f>
        <v>Mt Marion</v>
      </c>
      <c r="E15" s="7" t="str">
        <f>VLOOKUP($A15, 'Job Data'!$A$2:$P$220,14, FALSE)</f>
        <v>AP0002 Spare Parts</v>
      </c>
      <c r="F15" s="1" t="str">
        <f>VLOOKUP($A15, 'Job Data'!$A$2:$P$220,15, FALSE)</f>
        <v>C:\Users\wubia\OneDrive - Longi Magnet Australia Pty ltd\Documents - Longi Australia\03 Project Management\Client\MRL\Mt Marion\AP0002 Spare Parts</v>
      </c>
      <c r="G15" s="16" t="str">
        <f t="shared" si="0"/>
        <v>Open Project Folder</v>
      </c>
      <c r="H15" s="1"/>
    </row>
    <row r="16" spans="1:8" ht="24.65" customHeight="1">
      <c r="A16" s="24" t="s">
        <v>384</v>
      </c>
      <c r="B16" s="24">
        <v>1</v>
      </c>
      <c r="C16" s="7" t="str">
        <f>VLOOKUP($A16, 'Job Data'!$A$2:$P$220,2, FALSE)</f>
        <v>MRL</v>
      </c>
      <c r="D16" s="7" t="str">
        <f>VLOOKUP($A16, 'Job Data'!$A$2:$P$220,3, FALSE)</f>
        <v>Wodgina</v>
      </c>
      <c r="E16" s="7" t="str">
        <f>VLOOKUP($A16, 'Job Data'!$A$2:$P$220,14, FALSE)</f>
        <v>AQ0033 WHIMS SPARES</v>
      </c>
      <c r="F16" s="1" t="str">
        <f>VLOOKUP($A16, 'Job Data'!$A$2:$P$220,15, FALSE)</f>
        <v>C:\Users\wubia\OneDrive - Longi Magnet Australia Pty ltd\Documents - Longi Australia\03 Project Management\Client\MRL\Wodgina\AQ0033 WHIMS SPARES</v>
      </c>
      <c r="G16" s="16" t="str">
        <f t="shared" si="0"/>
        <v>Open Project Folder</v>
      </c>
      <c r="H16" s="1"/>
    </row>
    <row r="17" spans="1:8" ht="24.65" customHeight="1">
      <c r="A17" s="24" t="s">
        <v>464</v>
      </c>
      <c r="B17" s="24">
        <v>1</v>
      </c>
      <c r="C17" s="7" t="str">
        <f>VLOOKUP($A17, 'Job Data'!$A$2:$P$220,2, FALSE)</f>
        <v>MRL</v>
      </c>
      <c r="D17" s="7" t="str">
        <f>VLOOKUP($A17, 'Job Data'!$A$2:$P$220,3, FALSE)</f>
        <v>Mt Marion</v>
      </c>
      <c r="E17" s="7" t="str">
        <f>VLOOKUP($A17, 'Job Data'!$A$2:$P$220,14, FALSE)</f>
        <v>AT0029 Belt Magnet Drum Testwork</v>
      </c>
      <c r="F17" s="1" t="str">
        <f>VLOOKUP($A17, 'Job Data'!$A$2:$P$220,15, FALSE)</f>
        <v>C:\Users\wubia\OneDrive - Longi Magnet Australia Pty ltd\Documents - Longi Australia\03 Project Management\Client\MRL\Mt Marion\AT0029 Belt Magnet Drum Testwork</v>
      </c>
      <c r="G17" s="16" t="str">
        <f t="shared" si="0"/>
        <v>Open Project Folder</v>
      </c>
      <c r="H17" s="1"/>
    </row>
    <row r="18" spans="1:8" ht="24.65" customHeight="1">
      <c r="A18" s="24" t="s">
        <v>473</v>
      </c>
      <c r="B18" s="24">
        <v>1</v>
      </c>
      <c r="C18" s="7" t="str">
        <f>VLOOKUP($A18, 'Job Data'!$A$2:$P$220,2, FALSE)</f>
        <v>MRL</v>
      </c>
      <c r="D18" s="7" t="str">
        <f>VLOOKUP($A18, 'Job Data'!$A$2:$P$220,3, FALSE)</f>
        <v>Wodgina</v>
      </c>
      <c r="E18" s="7" t="str">
        <f>VLOOKUP($A18, 'Job Data'!$A$2:$P$220,14, FALSE)</f>
        <v>AP0003 Spare Parts</v>
      </c>
      <c r="F18" s="1" t="str">
        <f>VLOOKUP($A18, 'Job Data'!$A$2:$P$220,15, FALSE)</f>
        <v>C:\Users\wubia\OneDrive - Longi Magnet Australia Pty ltd\Documents - Longi Australia\03 Project Management\Client\MRL\Wodgina\AP0003 Spare Parts</v>
      </c>
      <c r="G18" s="16" t="str">
        <f t="shared" si="0"/>
        <v>Open Project Folder</v>
      </c>
      <c r="H18" s="1"/>
    </row>
    <row r="19" spans="1:8" ht="24.65" customHeight="1">
      <c r="A19" s="24" t="s">
        <v>477</v>
      </c>
      <c r="B19" s="24">
        <v>1</v>
      </c>
      <c r="C19" s="7" t="str">
        <f>VLOOKUP($A19, 'Job Data'!$A$2:$P$220,2, FALSE)</f>
        <v>MRL</v>
      </c>
      <c r="D19" s="7" t="str">
        <f>VLOOKUP($A19, 'Job Data'!$A$2:$P$220,3, FALSE)</f>
        <v>Mt Marion</v>
      </c>
      <c r="E19" s="7" t="str">
        <f>VLOOKUP($A19, 'Job Data'!$A$2:$P$220,14, FALSE)</f>
        <v>AQ0051 WHIMS Protection LIMS</v>
      </c>
      <c r="F19" s="1" t="str">
        <f>VLOOKUP($A19, 'Job Data'!$A$2:$P$220,15, FALSE)</f>
        <v>C:\Users\wubia\OneDrive - Longi Magnet Australia Pty ltd\Documents - Longi Australia\03 Project Management\Client\MRL\Mt Marion\AQ0051 WHIMS Protection LIMS</v>
      </c>
      <c r="G19" s="16" t="str">
        <f t="shared" si="0"/>
        <v>Open Project Folder</v>
      </c>
      <c r="H19" s="1"/>
    </row>
    <row r="20" spans="1:8" ht="24.65" customHeight="1">
      <c r="A20" s="24" t="s">
        <v>580</v>
      </c>
      <c r="B20" s="24">
        <v>1</v>
      </c>
      <c r="C20" s="7" t="str">
        <f>VLOOKUP($A20, 'Job Data'!$A$2:$P$220,2, FALSE)</f>
        <v>MRL</v>
      </c>
      <c r="D20" s="7" t="str">
        <f>VLOOKUP($A20, 'Job Data'!$A$2:$P$220,3, FALSE)</f>
        <v>Wodgina</v>
      </c>
      <c r="E20" s="7" t="str">
        <f>VLOOKUP($A20, 'Job Data'!$A$2:$P$220,14, FALSE)</f>
        <v>AT0041 WHIMS Testwork</v>
      </c>
      <c r="F20" s="1" t="str">
        <f>VLOOKUP($A20, 'Job Data'!$A$2:$P$220,15, FALSE)</f>
        <v>C:\Users\wubia\OneDrive - Longi Magnet Australia Pty ltd\Documents - Longi Australia\03 Project Management\Client\MRL\Wodgina\AT0041 WHIMS Testwork</v>
      </c>
      <c r="G20" s="16" t="str">
        <f t="shared" si="0"/>
        <v>Open Project Folder</v>
      </c>
      <c r="H20" s="1"/>
    </row>
    <row r="21" spans="1:8" ht="24.65" customHeight="1">
      <c r="A21" s="24" t="s">
        <v>581</v>
      </c>
      <c r="B21" s="24">
        <v>1</v>
      </c>
      <c r="C21" s="7" t="str">
        <f>VLOOKUP($A21, 'Job Data'!$A$2:$P$220,2, FALSE)</f>
        <v>MRL</v>
      </c>
      <c r="D21" s="7" t="str">
        <f>VLOOKUP($A21, 'Job Data'!$A$2:$P$220,3, FALSE)</f>
        <v>Wodgina</v>
      </c>
      <c r="E21" s="7" t="str">
        <f>VLOOKUP($A21, 'Job Data'!$A$2:$P$220,14, FALSE)</f>
        <v>AQ0054 RFP - PP007 - MRL3468 MS (LIMS) - Train 4</v>
      </c>
      <c r="F21" s="1" t="str">
        <f>VLOOKUP($A21, 'Job Data'!$A$2:$P$220,15, FALSE)</f>
        <v>C:\Users\wubia\OneDrive - Longi Magnet Australia Pty ltd\Documents - Longi Australia\03 Project Management\Client\MRL\Wodgina\AQ0054 RFP - PP007 - MRL3468 MS (LIMS) - Train 4</v>
      </c>
      <c r="G21" s="16" t="str">
        <f t="shared" si="0"/>
        <v>Open Project Folder</v>
      </c>
      <c r="H21" s="1"/>
    </row>
    <row r="22" spans="1:8" ht="24.65" customHeight="1">
      <c r="A22" s="24" t="s">
        <v>582</v>
      </c>
      <c r="B22" s="24">
        <v>1</v>
      </c>
      <c r="C22" s="7" t="str">
        <f>VLOOKUP($A22, 'Job Data'!$A$2:$P$220,2, FALSE)</f>
        <v>MRL</v>
      </c>
      <c r="D22" s="7" t="str">
        <f>VLOOKUP($A22, 'Job Data'!$A$2:$P$220,3, FALSE)</f>
        <v>Wodgina</v>
      </c>
      <c r="E22" s="7" t="str">
        <f>VLOOKUP($A22, 'Job Data'!$A$2:$P$220,14, FALSE)</f>
        <v>AQ0055 RFP - PP007 - MRL3468 MS (WHIMS) - Train 4</v>
      </c>
      <c r="F22" s="1" t="str">
        <f>VLOOKUP($A22, 'Job Data'!$A$2:$P$220,15, FALSE)</f>
        <v>C:\Users\wubia\OneDrive - Longi Magnet Australia Pty ltd\Documents - Longi Australia\03 Project Management\Client\MRL\Wodgina\AQ0055 RFP - PP007 - MRL3468 MS (WHIMS) - Train 4</v>
      </c>
      <c r="G22" s="16" t="str">
        <f t="shared" si="0"/>
        <v>Open Project Folder</v>
      </c>
      <c r="H22" s="1"/>
    </row>
    <row r="23" spans="1:8" ht="24.65" customHeight="1">
      <c r="A23" s="24" t="s">
        <v>583</v>
      </c>
      <c r="B23" s="24">
        <v>1</v>
      </c>
      <c r="C23" s="7" t="str">
        <f>VLOOKUP($A23, 'Job Data'!$A$2:$P$220,2, FALSE)</f>
        <v>MRL</v>
      </c>
      <c r="D23" s="7" t="str">
        <f>VLOOKUP($A23, 'Job Data'!$A$2:$P$220,3, FALSE)</f>
        <v>Wodgina</v>
      </c>
      <c r="E23" s="7" t="str">
        <f>VLOOKUP($A23, 'Job Data'!$A$2:$P$220,14, FALSE)</f>
        <v>AQ0056 RFP - PP007 - MRL3468 MS (LIMS) - Train 4</v>
      </c>
      <c r="F23" s="1" t="str">
        <f>VLOOKUP($A23, 'Job Data'!$A$2:$P$220,15, FALSE)</f>
        <v>C:\Users\wubia\OneDrive - Longi Magnet Australia Pty ltd\Documents - Longi Australia\03 Project Management\Client\FMG\Kings\AC0022 KV Tails Scavenging Testwork</v>
      </c>
      <c r="G23" s="16" t="str">
        <f t="shared" si="0"/>
        <v>Open Project Folder</v>
      </c>
      <c r="H23" s="1"/>
    </row>
    <row r="24" spans="1:8" ht="24.65" customHeight="1">
      <c r="A24" s="24" t="s">
        <v>584</v>
      </c>
      <c r="B24" s="24">
        <v>1</v>
      </c>
      <c r="C24" s="7" t="str">
        <f>VLOOKUP($A24, 'Job Data'!$A$2:$P$220,2, FALSE)</f>
        <v>MRL</v>
      </c>
      <c r="D24" s="7" t="str">
        <f>VLOOKUP($A24, 'Job Data'!$A$2:$P$220,3, FALSE)</f>
        <v>Mt Marion</v>
      </c>
      <c r="E24" s="7" t="str">
        <f>VLOOKUP($A24, 'Job Data'!$A$2:$P$220,14, FALSE)</f>
        <v>AQ0057 Fine Flotation Study</v>
      </c>
      <c r="F24" s="1" t="str">
        <f>VLOOKUP($A24, 'Job Data'!$A$2:$P$220,15, FALSE)</f>
        <v>C:\Users\wubia\OneDrive - Longi Magnet Australia Pty ltd\Documents - Longi Australia\03 Project Management\Client\MRL\Mt Marion\AQ0057 Fine Flotation Study</v>
      </c>
      <c r="G24" s="16" t="str">
        <f t="shared" si="0"/>
        <v>Open Project Folder</v>
      </c>
      <c r="H24" s="1"/>
    </row>
    <row r="25" spans="1:8" ht="24.65" customHeight="1">
      <c r="A25" s="24" t="s">
        <v>586</v>
      </c>
      <c r="B25" s="24">
        <v>1</v>
      </c>
      <c r="C25" s="7" t="str">
        <f>VLOOKUP($A25, 'Job Data'!$A$2:$P$220,2, FALSE)</f>
        <v>MRL</v>
      </c>
      <c r="D25" s="7" t="str">
        <f>VLOOKUP($A25, 'Job Data'!$A$2:$P$220,3, FALSE)</f>
        <v>Mt Marion</v>
      </c>
      <c r="E25" s="7" t="str">
        <f>VLOOKUP($A25, 'Job Data'!$A$2:$P$220,14, FALSE)</f>
        <v>AT0045 Coarse MS Testwork</v>
      </c>
      <c r="F25" s="1" t="str">
        <f>VLOOKUP($A25, 'Job Data'!$A$2:$P$220,15, FALSE)</f>
        <v>C:\Users\wubia\OneDrive - Longi Magnet Australia Pty ltd\Documents - Longi Australia\03 Project Management\Client\MRL\Mt Marion\AT0045 Coarse MS Testwork</v>
      </c>
      <c r="G25" s="16" t="str">
        <f t="shared" si="0"/>
        <v>Open Project Folder</v>
      </c>
      <c r="H25" s="1"/>
    </row>
    <row r="26" spans="1:8" ht="24.65" customHeight="1">
      <c r="A26" s="24" t="s">
        <v>587</v>
      </c>
      <c r="B26" s="24">
        <v>1</v>
      </c>
      <c r="C26" s="7" t="str">
        <f>VLOOKUP($A26, 'Job Data'!$A$2:$P$220,2, FALSE)</f>
        <v>MRL</v>
      </c>
      <c r="D26" s="7" t="str">
        <f>VLOOKUP($A26, 'Job Data'!$A$2:$P$220,3, FALSE)</f>
        <v>Mauritania</v>
      </c>
      <c r="E26" s="7" t="str">
        <f>VLOOKUP($A26, 'Job Data'!$A$2:$P$220,14, FALSE)</f>
        <v>AQ0060 El Aouj Project in Mauritania</v>
      </c>
      <c r="F26" s="1" t="str">
        <f>VLOOKUP($A26, 'Job Data'!$A$2:$P$220,15, FALSE)</f>
        <v>C:\Users\wubia\OneDrive - Longi Magnet Australia Pty ltd\Documents - Longi Australia\03 Project Management\Client\MRL\Mauritania\AQ0060 El Aouj Project in Mauritania</v>
      </c>
      <c r="G26" s="16" t="str">
        <f t="shared" si="0"/>
        <v>Open Project Folder</v>
      </c>
      <c r="H26" s="1"/>
    </row>
    <row r="27" spans="1:8" ht="24.65" customHeight="1">
      <c r="A27" s="24" t="s">
        <v>588</v>
      </c>
      <c r="B27" s="24">
        <v>1</v>
      </c>
      <c r="C27" s="5" t="str">
        <f>VLOOKUP($A27, 'Job Data'!$A$2:$P$220,2, FALSE)</f>
        <v>MRL</v>
      </c>
      <c r="D27" s="5" t="str">
        <f>VLOOKUP($A27, 'Job Data'!$A$2:$P$220,3, FALSE)</f>
        <v>TBA</v>
      </c>
      <c r="E27" s="5" t="str">
        <f>VLOOKUP($A27, 'Job Data'!$A$2:$P$220,14, FALSE)</f>
        <v>AQ0062 Stationary Tramp Iron Magnet</v>
      </c>
      <c r="F27" s="1" t="str">
        <f>VLOOKUP($A27, 'Job Data'!$A$2:$P$220,15, FALSE)</f>
        <v>C:\Users\wubia\OneDrive - Longi Magnet Australia Pty ltd\Documents - Longi Australia\03 Project Management\Client\MRL\TBA\AQ0062 Stationary Tramp Iron Magnet</v>
      </c>
      <c r="G27" s="16" t="str">
        <f t="shared" si="0"/>
        <v>Open Project Folder</v>
      </c>
      <c r="H27" s="1"/>
    </row>
    <row r="28" spans="1:8" ht="24.65" customHeight="1">
      <c r="A28" s="24" t="s">
        <v>715</v>
      </c>
      <c r="B28" s="24">
        <v>1</v>
      </c>
      <c r="C28" s="5" t="str">
        <f>VLOOKUP($A28, 'Job Data'!$A$2:$P$220,2, FALSE)</f>
        <v>MRL</v>
      </c>
      <c r="D28" s="5" t="str">
        <f>VLOOKUP($A28, 'Job Data'!$A$2:$P$220,3, FALSE)</f>
        <v>Mauritania</v>
      </c>
      <c r="E28" s="5" t="str">
        <f>VLOOKUP($A28, 'Job Data'!$A$2:$P$220,14, FALSE)</f>
        <v xml:space="preserve">AQ0074 El Aouj Project LJK </v>
      </c>
      <c r="F28" s="1" t="str">
        <f>VLOOKUP($A28, 'Job Data'!$A$2:$P$220,15, FALSE)</f>
        <v xml:space="preserve">C:\Users\wubia\OneDrive - Longi Magnet Australia Pty ltd\Documents - Longi Australia\03 Project Management\Client\MRL\Mauritania\AQ0074 El Aouj Project LJK </v>
      </c>
      <c r="G28" s="16" t="str">
        <f t="shared" si="0"/>
        <v>Open Project Folder</v>
      </c>
      <c r="H28" s="1"/>
    </row>
    <row r="29" spans="1:8" ht="24.65" customHeight="1">
      <c r="A29" s="22" t="s">
        <v>714</v>
      </c>
      <c r="B29" s="24">
        <v>1</v>
      </c>
      <c r="C29" s="5" t="str">
        <f>VLOOKUP($A29, 'Job Data'!$A$2:$P$220,2, FALSE)</f>
        <v>MRL</v>
      </c>
      <c r="D29" s="5" t="str">
        <f>VLOOKUP($A29, 'Job Data'!$A$2:$P$220,3, FALSE)</f>
        <v>Mt Marion</v>
      </c>
      <c r="E29" s="5" t="str">
        <f>VLOOKUP($A29, 'Job Data'!$A$2:$P$220,14, FALSE)</f>
        <v>AQ0078 HDMS Drum Assembly</v>
      </c>
      <c r="F29" s="1" t="str">
        <f>VLOOKUP($A29, 'Job Data'!$A$2:$P$220,15, FALSE)</f>
        <v>C:\Users\wubia\OneDrive - Longi Magnet Australia Pty ltd\Documents - Longi Australia\03 Project Management\Client\MRL\Mt Marion\AQ0078 HDMS Drum Assembly</v>
      </c>
      <c r="G29" s="16" t="str">
        <f t="shared" si="0"/>
        <v>Open Project Folder</v>
      </c>
      <c r="H29" s="1"/>
    </row>
    <row r="30" spans="1:8" ht="24.65" customHeight="1">
      <c r="A30" s="22" t="s">
        <v>217</v>
      </c>
      <c r="B30" s="22">
        <v>23</v>
      </c>
      <c r="C30" s="5" t="e">
        <f>VLOOKUP($A30, 'Job Data'!$A$2:$P$220,2, FALSE)</f>
        <v>#N/A</v>
      </c>
      <c r="D30" s="5" t="e">
        <f>VLOOKUP($A30, 'Job Data'!$A$2:$P$220,3, FALSE)</f>
        <v>#N/A</v>
      </c>
      <c r="E30" s="5" t="e">
        <f>VLOOKUP($A30, 'Job Data'!$A$2:$P$220,14, FALSE)</f>
        <v>#N/A</v>
      </c>
      <c r="F30" s="1" t="e">
        <f>VLOOKUP($A30, 'Job Data'!$A$2:$P$220,15, FALSE)</f>
        <v>#N/A</v>
      </c>
      <c r="G30" s="16" t="e">
        <f t="shared" si="0"/>
        <v>#N/A</v>
      </c>
      <c r="H30" s="1"/>
    </row>
    <row r="31" spans="1:8" ht="24.65" customHeight="1">
      <c r="C31" s="5" t="e">
        <f>VLOOKUP($A31, 'Job Data'!$A$2:$P$220,2, FALSE)</f>
        <v>#N/A</v>
      </c>
      <c r="D31" s="5" t="e">
        <f>VLOOKUP($A31, 'Job Data'!$A$2:$P$220,3, FALSE)</f>
        <v>#N/A</v>
      </c>
      <c r="E31" s="5" t="e">
        <f>VLOOKUP($A31, 'Job Data'!$A$2:$P$220,14, FALSE)</f>
        <v>#N/A</v>
      </c>
      <c r="F31" s="1" t="e">
        <f>VLOOKUP($A31, 'Job Data'!$A$2:$P$220,15, FALSE)</f>
        <v>#N/A</v>
      </c>
      <c r="G31" s="16" t="e">
        <f t="shared" si="0"/>
        <v>#N/A</v>
      </c>
      <c r="H31" s="1"/>
    </row>
    <row r="32" spans="1:8" ht="24.65" customHeight="1">
      <c r="C32" s="5" t="e">
        <f>VLOOKUP($A32, 'Job Data'!$A$2:$P$220,2, FALSE)</f>
        <v>#N/A</v>
      </c>
      <c r="D32" s="5" t="e">
        <f>VLOOKUP($A32, 'Job Data'!$A$2:$P$220,3, FALSE)</f>
        <v>#N/A</v>
      </c>
      <c r="E32" s="5" t="e">
        <f>VLOOKUP($A32, 'Job Data'!$A$2:$P$220,14, FALSE)</f>
        <v>#N/A</v>
      </c>
      <c r="F32" s="1" t="e">
        <f>VLOOKUP($A32, 'Job Data'!$A$2:$P$220,15, FALSE)</f>
        <v>#N/A</v>
      </c>
      <c r="G32" s="16" t="e">
        <f t="shared" si="0"/>
        <v>#N/A</v>
      </c>
      <c r="H32" s="1"/>
    </row>
    <row r="33" spans="3:8" ht="24.65" customHeight="1">
      <c r="C33" s="5" t="e">
        <f>VLOOKUP($A33, 'Job Data'!$A$2:$P$220,2, FALSE)</f>
        <v>#N/A</v>
      </c>
      <c r="D33" s="5" t="e">
        <f>VLOOKUP($A33, 'Job Data'!$A$2:$P$220,3, FALSE)</f>
        <v>#N/A</v>
      </c>
      <c r="E33" s="5" t="e">
        <f>VLOOKUP($A33, 'Job Data'!$A$2:$P$220,14, FALSE)</f>
        <v>#N/A</v>
      </c>
      <c r="F33" s="1" t="e">
        <f>VLOOKUP($A33, 'Job Data'!$A$2:$P$220,15, FALSE)</f>
        <v>#N/A</v>
      </c>
      <c r="G33" s="16" t="e">
        <f t="shared" si="0"/>
        <v>#N/A</v>
      </c>
      <c r="H33" s="1"/>
    </row>
    <row r="34" spans="3:8" ht="24.65" customHeight="1">
      <c r="C34" s="5" t="e">
        <f>VLOOKUP($A34, 'Job Data'!$A$2:$P$220,2, FALSE)</f>
        <v>#N/A</v>
      </c>
      <c r="D34" s="5" t="e">
        <f>VLOOKUP($A34, 'Job Data'!$A$2:$P$220,3, FALSE)</f>
        <v>#N/A</v>
      </c>
      <c r="E34" s="5" t="e">
        <f>VLOOKUP($A34, 'Job Data'!$A$2:$P$220,14, FALSE)</f>
        <v>#N/A</v>
      </c>
      <c r="F34" s="1" t="e">
        <f>VLOOKUP($A34, 'Job Data'!$A$2:$P$220,15, FALSE)</f>
        <v>#N/A</v>
      </c>
      <c r="G34" s="16" t="e">
        <f t="shared" si="0"/>
        <v>#N/A</v>
      </c>
      <c r="H34" s="1"/>
    </row>
    <row r="35" spans="3:8" ht="24.65" customHeight="1">
      <c r="C35" s="5" t="e">
        <f>VLOOKUP($A35, 'Job Data'!$A$2:$P$220,2, FALSE)</f>
        <v>#N/A</v>
      </c>
      <c r="D35" s="5" t="e">
        <f>VLOOKUP($A35, 'Job Data'!$A$2:$P$220,3, FALSE)</f>
        <v>#N/A</v>
      </c>
      <c r="E35" s="5" t="e">
        <f>VLOOKUP($A35, 'Job Data'!$A$2:$P$220,14, FALSE)</f>
        <v>#N/A</v>
      </c>
      <c r="F35" s="1" t="e">
        <f>VLOOKUP($A35, 'Job Data'!$A$2:$P$220,15, FALSE)</f>
        <v>#N/A</v>
      </c>
      <c r="G35" s="16" t="e">
        <f t="shared" si="0"/>
        <v>#N/A</v>
      </c>
      <c r="H35" s="1"/>
    </row>
    <row r="36" spans="3:8" ht="24.65" customHeight="1">
      <c r="C36" s="5" t="e">
        <f>VLOOKUP($A36, 'Job Data'!$A$2:$P$220,2, FALSE)</f>
        <v>#N/A</v>
      </c>
      <c r="D36" s="5" t="e">
        <f>VLOOKUP($A36, 'Job Data'!$A$2:$P$220,3, FALSE)</f>
        <v>#N/A</v>
      </c>
      <c r="E36" s="5" t="e">
        <f>VLOOKUP($A36, 'Job Data'!$A$2:$P$220,14, FALSE)</f>
        <v>#N/A</v>
      </c>
      <c r="F36" s="1" t="e">
        <f>VLOOKUP($A36, 'Job Data'!$A$2:$P$220,15, FALSE)</f>
        <v>#N/A</v>
      </c>
      <c r="G36" s="16" t="e">
        <f t="shared" si="0"/>
        <v>#N/A</v>
      </c>
      <c r="H36" s="1"/>
    </row>
    <row r="37" spans="3:8" ht="24.65" customHeight="1">
      <c r="C37" s="5" t="e">
        <f>VLOOKUP($A37, 'Job Data'!$A$2:$P$220,2, FALSE)</f>
        <v>#N/A</v>
      </c>
      <c r="D37" s="5" t="e">
        <f>VLOOKUP($A37, 'Job Data'!$A$2:$P$220,3, FALSE)</f>
        <v>#N/A</v>
      </c>
      <c r="E37" s="5" t="e">
        <f>VLOOKUP($A37, 'Job Data'!$A$2:$P$220,14, FALSE)</f>
        <v>#N/A</v>
      </c>
      <c r="F37" s="1" t="e">
        <f>VLOOKUP($A37, 'Job Data'!$A$2:$P$220,15, FALSE)</f>
        <v>#N/A</v>
      </c>
      <c r="G37" s="16" t="e">
        <f t="shared" si="0"/>
        <v>#N/A</v>
      </c>
      <c r="H37" s="1"/>
    </row>
    <row r="38" spans="3:8" ht="24.65" customHeight="1">
      <c r="C38" s="5" t="e">
        <f>VLOOKUP($A38, 'Job Data'!$A$2:$P$220,2, FALSE)</f>
        <v>#N/A</v>
      </c>
      <c r="D38" s="5" t="e">
        <f>VLOOKUP($A38, 'Job Data'!$A$2:$P$220,3, FALSE)</f>
        <v>#N/A</v>
      </c>
      <c r="E38" s="5" t="e">
        <f>VLOOKUP($A38, 'Job Data'!$A$2:$P$220,14, FALSE)</f>
        <v>#N/A</v>
      </c>
      <c r="F38" s="1" t="e">
        <f>VLOOKUP($A38, 'Job Data'!$A$2:$P$220,15, FALSE)</f>
        <v>#N/A</v>
      </c>
      <c r="G38" s="16" t="e">
        <f t="shared" si="0"/>
        <v>#N/A</v>
      </c>
      <c r="H38" s="1"/>
    </row>
    <row r="39" spans="3:8" ht="24.65" customHeight="1">
      <c r="C39" s="5" t="e">
        <f>VLOOKUP($A39, 'Job Data'!$A$2:$P$220,2, FALSE)</f>
        <v>#N/A</v>
      </c>
      <c r="D39" s="5" t="e">
        <f>VLOOKUP($A39, 'Job Data'!$A$2:$P$220,3, FALSE)</f>
        <v>#N/A</v>
      </c>
      <c r="E39" s="5" t="e">
        <f>VLOOKUP($A39, 'Job Data'!$A$2:$P$220,14, FALSE)</f>
        <v>#N/A</v>
      </c>
      <c r="F39" s="1" t="e">
        <f>VLOOKUP($A39, 'Job Data'!$A$2:$P$220,15, FALSE)</f>
        <v>#N/A</v>
      </c>
      <c r="G39" s="16" t="e">
        <f t="shared" ref="G39:G70" si="1">HYPERLINK(SUBSTITUTE(SUBSTITUTE(F39, "C:\Users\wubia\OneDrive - Longi Magnet Australia Pty ltd\Documents - Longi Australia", "C:\Users\lucaliu\Longi Magnet Australia Pty ltd\Longi Australia - Documents"), "\\", "\\"),"Open Project Folder")</f>
        <v>#N/A</v>
      </c>
      <c r="H39" s="1"/>
    </row>
    <row r="40" spans="3:8" ht="24.65" customHeight="1">
      <c r="C40" s="5" t="e">
        <f>VLOOKUP($A40, 'Job Data'!$A$2:$P$220,2, FALSE)</f>
        <v>#N/A</v>
      </c>
      <c r="D40" s="5" t="e">
        <f>VLOOKUP($A40, 'Job Data'!$A$2:$P$220,3, FALSE)</f>
        <v>#N/A</v>
      </c>
      <c r="E40" s="5" t="e">
        <f>VLOOKUP($A40, 'Job Data'!$A$2:$P$220,14, FALSE)</f>
        <v>#N/A</v>
      </c>
      <c r="F40" s="1" t="e">
        <f>VLOOKUP($A40, 'Job Data'!$A$2:$P$220,15, FALSE)</f>
        <v>#N/A</v>
      </c>
      <c r="G40" s="16" t="e">
        <f t="shared" si="1"/>
        <v>#N/A</v>
      </c>
      <c r="H40" s="1"/>
    </row>
    <row r="41" spans="3:8" ht="24.65" customHeight="1">
      <c r="C41" s="5" t="e">
        <f>VLOOKUP($A41, 'Job Data'!$A$2:$P$220,2, FALSE)</f>
        <v>#N/A</v>
      </c>
      <c r="D41" s="5" t="e">
        <f>VLOOKUP($A41, 'Job Data'!$A$2:$P$220,3, FALSE)</f>
        <v>#N/A</v>
      </c>
      <c r="E41" s="5" t="e">
        <f>VLOOKUP($A41, 'Job Data'!$A$2:$P$220,14, FALSE)</f>
        <v>#N/A</v>
      </c>
      <c r="F41" s="1" t="e">
        <f>VLOOKUP($A41, 'Job Data'!$A$2:$P$220,15, FALSE)</f>
        <v>#N/A</v>
      </c>
      <c r="G41" s="16" t="e">
        <f t="shared" si="1"/>
        <v>#N/A</v>
      </c>
      <c r="H41" s="1"/>
    </row>
    <row r="42" spans="3:8" ht="24.65" customHeight="1">
      <c r="C42" s="5" t="e">
        <f>VLOOKUP($A42, 'Job Data'!$A$2:$P$220,2, FALSE)</f>
        <v>#N/A</v>
      </c>
      <c r="D42" s="5" t="e">
        <f>VLOOKUP($A42, 'Job Data'!$A$2:$P$220,3, FALSE)</f>
        <v>#N/A</v>
      </c>
      <c r="E42" s="5" t="e">
        <f>VLOOKUP($A42, 'Job Data'!$A$2:$P$220,14, FALSE)</f>
        <v>#N/A</v>
      </c>
      <c r="F42" s="1" t="e">
        <f>VLOOKUP($A42, 'Job Data'!$A$2:$P$220,15, FALSE)</f>
        <v>#N/A</v>
      </c>
      <c r="G42" s="16" t="e">
        <f t="shared" si="1"/>
        <v>#N/A</v>
      </c>
      <c r="H42" s="1"/>
    </row>
    <row r="43" spans="3:8" ht="24.65" customHeight="1">
      <c r="C43" s="5" t="e">
        <f>VLOOKUP($A43, 'Job Data'!$A$2:$P$220,2, FALSE)</f>
        <v>#N/A</v>
      </c>
      <c r="D43" s="5" t="e">
        <f>VLOOKUP($A43, 'Job Data'!$A$2:$P$220,3, FALSE)</f>
        <v>#N/A</v>
      </c>
      <c r="E43" s="5" t="e">
        <f>VLOOKUP($A43, 'Job Data'!$A$2:$P$220,14, FALSE)</f>
        <v>#N/A</v>
      </c>
      <c r="F43" s="1" t="e">
        <f>VLOOKUP($A43, 'Job Data'!$A$2:$P$220,15, FALSE)</f>
        <v>#N/A</v>
      </c>
      <c r="G43" s="16" t="e">
        <f t="shared" si="1"/>
        <v>#N/A</v>
      </c>
      <c r="H43" s="1"/>
    </row>
    <row r="44" spans="3:8" ht="24.65" customHeight="1">
      <c r="C44" s="5" t="e">
        <f>VLOOKUP($A44, 'Job Data'!$A$2:$P$220,2, FALSE)</f>
        <v>#N/A</v>
      </c>
      <c r="D44" s="5" t="e">
        <f>VLOOKUP($A44, 'Job Data'!$A$2:$P$220,3, FALSE)</f>
        <v>#N/A</v>
      </c>
      <c r="E44" s="5" t="e">
        <f>VLOOKUP($A44, 'Job Data'!$A$2:$P$220,14, FALSE)</f>
        <v>#N/A</v>
      </c>
      <c r="F44" s="1" t="e">
        <f>VLOOKUP($A44, 'Job Data'!$A$2:$P$220,15, FALSE)</f>
        <v>#N/A</v>
      </c>
      <c r="G44" s="16" t="e">
        <f t="shared" si="1"/>
        <v>#N/A</v>
      </c>
      <c r="H44" s="1"/>
    </row>
    <row r="45" spans="3:8" ht="24.65" customHeight="1">
      <c r="C45" s="5" t="e">
        <f>VLOOKUP($A45, 'Job Data'!$A$2:$P$220,2, FALSE)</f>
        <v>#N/A</v>
      </c>
      <c r="D45" s="5" t="e">
        <f>VLOOKUP($A45, 'Job Data'!$A$2:$P$220,3, FALSE)</f>
        <v>#N/A</v>
      </c>
      <c r="E45" s="5" t="e">
        <f>VLOOKUP($A45, 'Job Data'!$A$2:$P$220,14, FALSE)</f>
        <v>#N/A</v>
      </c>
      <c r="F45" s="1" t="e">
        <f>VLOOKUP($A45, 'Job Data'!$A$2:$P$220,15, FALSE)</f>
        <v>#N/A</v>
      </c>
      <c r="G45" s="16" t="e">
        <f t="shared" si="1"/>
        <v>#N/A</v>
      </c>
      <c r="H45" s="1"/>
    </row>
    <row r="46" spans="3:8" ht="24.65" customHeight="1">
      <c r="C46" s="5" t="e">
        <f>VLOOKUP($A46, 'Job Data'!$A$2:$P$220,2, FALSE)</f>
        <v>#N/A</v>
      </c>
      <c r="D46" s="5" t="e">
        <f>VLOOKUP($A46, 'Job Data'!$A$2:$P$220,3, FALSE)</f>
        <v>#N/A</v>
      </c>
      <c r="E46" s="5" t="e">
        <f>VLOOKUP($A46, 'Job Data'!$A$2:$P$220,14, FALSE)</f>
        <v>#N/A</v>
      </c>
      <c r="F46" s="1" t="e">
        <f>VLOOKUP($A46, 'Job Data'!$A$2:$P$220,15, FALSE)</f>
        <v>#N/A</v>
      </c>
      <c r="G46" s="16" t="e">
        <f t="shared" si="1"/>
        <v>#N/A</v>
      </c>
      <c r="H46" s="1"/>
    </row>
    <row r="47" spans="3:8" ht="24.65" customHeight="1">
      <c r="C47" s="5" t="e">
        <f>VLOOKUP($A47, 'Job Data'!$A$2:$P$220,2, FALSE)</f>
        <v>#N/A</v>
      </c>
      <c r="D47" s="5" t="e">
        <f>VLOOKUP($A47, 'Job Data'!$A$2:$P$220,3, FALSE)</f>
        <v>#N/A</v>
      </c>
      <c r="E47" s="5" t="e">
        <f>VLOOKUP($A47, 'Job Data'!$A$2:$P$220,14, FALSE)</f>
        <v>#N/A</v>
      </c>
      <c r="F47" s="1" t="e">
        <f>VLOOKUP($A47, 'Job Data'!$A$2:$P$220,15, FALSE)</f>
        <v>#N/A</v>
      </c>
      <c r="G47" s="16" t="e">
        <f t="shared" si="1"/>
        <v>#N/A</v>
      </c>
      <c r="H47" s="1"/>
    </row>
    <row r="48" spans="3:8" ht="24.65" customHeight="1">
      <c r="C48" s="5" t="e">
        <f>VLOOKUP($A48, 'Job Data'!$A$2:$P$220,2, FALSE)</f>
        <v>#N/A</v>
      </c>
      <c r="D48" s="5" t="e">
        <f>VLOOKUP($A48, 'Job Data'!$A$2:$P$220,3, FALSE)</f>
        <v>#N/A</v>
      </c>
      <c r="E48" s="5" t="e">
        <f>VLOOKUP($A48, 'Job Data'!$A$2:$P$220,14, FALSE)</f>
        <v>#N/A</v>
      </c>
      <c r="F48" s="1" t="e">
        <f>VLOOKUP($A48, 'Job Data'!$A$2:$P$220,15, FALSE)</f>
        <v>#N/A</v>
      </c>
      <c r="G48" s="16" t="e">
        <f t="shared" si="1"/>
        <v>#N/A</v>
      </c>
      <c r="H48" s="1"/>
    </row>
    <row r="49" spans="3:8" ht="24.65" customHeight="1">
      <c r="C49" s="5" t="e">
        <f>VLOOKUP($A49, 'Job Data'!$A$2:$P$220,2, FALSE)</f>
        <v>#N/A</v>
      </c>
      <c r="D49" s="5" t="e">
        <f>VLOOKUP($A49, 'Job Data'!$A$2:$P$220,3, FALSE)</f>
        <v>#N/A</v>
      </c>
      <c r="E49" s="5" t="e">
        <f>VLOOKUP($A49, 'Job Data'!$A$2:$P$220,14, FALSE)</f>
        <v>#N/A</v>
      </c>
      <c r="F49" s="1" t="e">
        <f>VLOOKUP($A49, 'Job Data'!$A$2:$P$220,15, FALSE)</f>
        <v>#N/A</v>
      </c>
      <c r="G49" s="16" t="e">
        <f t="shared" si="1"/>
        <v>#N/A</v>
      </c>
      <c r="H49" s="1"/>
    </row>
    <row r="50" spans="3:8" ht="24.65" customHeight="1">
      <c r="C50" s="5" t="e">
        <f>VLOOKUP($A50, 'Job Data'!$A$2:$P$220,2, FALSE)</f>
        <v>#N/A</v>
      </c>
      <c r="D50" s="5" t="e">
        <f>VLOOKUP($A50, 'Job Data'!$A$2:$P$220,3, FALSE)</f>
        <v>#N/A</v>
      </c>
      <c r="E50" s="5" t="e">
        <f>VLOOKUP($A50, 'Job Data'!$A$2:$P$220,14, FALSE)</f>
        <v>#N/A</v>
      </c>
      <c r="F50" s="1" t="e">
        <f>VLOOKUP($A50, 'Job Data'!$A$2:$P$220,15, FALSE)</f>
        <v>#N/A</v>
      </c>
      <c r="G50" s="16" t="e">
        <f t="shared" si="1"/>
        <v>#N/A</v>
      </c>
      <c r="H50" s="1"/>
    </row>
    <row r="51" spans="3:8" ht="24.65" customHeight="1">
      <c r="C51" s="5" t="e">
        <f>VLOOKUP($A51, 'Job Data'!$A$2:$P$220,2, FALSE)</f>
        <v>#N/A</v>
      </c>
      <c r="D51" s="5" t="e">
        <f>VLOOKUP($A51, 'Job Data'!$A$2:$P$220,3, FALSE)</f>
        <v>#N/A</v>
      </c>
      <c r="E51" s="5" t="e">
        <f>VLOOKUP($A51, 'Job Data'!$A$2:$P$220,14, FALSE)</f>
        <v>#N/A</v>
      </c>
      <c r="F51" s="1" t="e">
        <f>VLOOKUP($A51, 'Job Data'!$A$2:$P$220,15, FALSE)</f>
        <v>#N/A</v>
      </c>
      <c r="G51" s="16" t="e">
        <f t="shared" si="1"/>
        <v>#N/A</v>
      </c>
      <c r="H51" s="1"/>
    </row>
    <row r="52" spans="3:8" ht="24.65" customHeight="1">
      <c r="C52" s="5" t="e">
        <f>VLOOKUP($A52, 'Job Data'!$A$2:$P$220,2, FALSE)</f>
        <v>#N/A</v>
      </c>
      <c r="D52" s="5" t="e">
        <f>VLOOKUP($A52, 'Job Data'!$A$2:$P$220,3, FALSE)</f>
        <v>#N/A</v>
      </c>
      <c r="E52" s="5" t="e">
        <f>VLOOKUP($A52, 'Job Data'!$A$2:$P$220,14, FALSE)</f>
        <v>#N/A</v>
      </c>
      <c r="F52" s="1" t="e">
        <f>VLOOKUP($A52, 'Job Data'!$A$2:$P$220,15, FALSE)</f>
        <v>#N/A</v>
      </c>
      <c r="G52" s="16" t="e">
        <f t="shared" si="1"/>
        <v>#N/A</v>
      </c>
      <c r="H52" s="1"/>
    </row>
    <row r="53" spans="3:8" ht="24.65" customHeight="1">
      <c r="C53" s="5" t="e">
        <f>VLOOKUP($A53, 'Job Data'!$A$2:$P$220,2, FALSE)</f>
        <v>#N/A</v>
      </c>
      <c r="D53" s="5" t="e">
        <f>VLOOKUP($A53, 'Job Data'!$A$2:$P$220,3, FALSE)</f>
        <v>#N/A</v>
      </c>
      <c r="E53" s="5" t="e">
        <f>VLOOKUP($A53, 'Job Data'!$A$2:$P$220,14, FALSE)</f>
        <v>#N/A</v>
      </c>
      <c r="F53" s="1" t="e">
        <f>VLOOKUP($A53, 'Job Data'!$A$2:$P$220,15, FALSE)</f>
        <v>#N/A</v>
      </c>
      <c r="G53" s="16" t="e">
        <f t="shared" si="1"/>
        <v>#N/A</v>
      </c>
      <c r="H53" s="1"/>
    </row>
    <row r="54" spans="3:8" ht="24.65" customHeight="1">
      <c r="C54" s="5" t="e">
        <f>VLOOKUP($A54, 'Job Data'!$A$2:$P$220,2, FALSE)</f>
        <v>#N/A</v>
      </c>
      <c r="D54" s="5" t="e">
        <f>VLOOKUP($A54, 'Job Data'!$A$2:$P$220,3, FALSE)</f>
        <v>#N/A</v>
      </c>
      <c r="E54" s="5" t="e">
        <f>VLOOKUP($A54, 'Job Data'!$A$2:$P$220,14, FALSE)</f>
        <v>#N/A</v>
      </c>
      <c r="F54" s="1" t="e">
        <f>VLOOKUP($A54, 'Job Data'!$A$2:$P$220,15, FALSE)</f>
        <v>#N/A</v>
      </c>
      <c r="G54" s="16" t="e">
        <f t="shared" si="1"/>
        <v>#N/A</v>
      </c>
      <c r="H54" s="1"/>
    </row>
    <row r="55" spans="3:8" ht="24.65" customHeight="1">
      <c r="C55" s="5" t="e">
        <f>VLOOKUP($A55, 'Job Data'!$A$2:$P$220,2, FALSE)</f>
        <v>#N/A</v>
      </c>
      <c r="D55" s="5" t="e">
        <f>VLOOKUP($A55, 'Job Data'!$A$2:$P$220,3, FALSE)</f>
        <v>#N/A</v>
      </c>
      <c r="E55" s="5" t="e">
        <f>VLOOKUP($A55, 'Job Data'!$A$2:$P$220,14, FALSE)</f>
        <v>#N/A</v>
      </c>
      <c r="F55" s="1" t="e">
        <f>VLOOKUP($A55, 'Job Data'!$A$2:$P$220,15, FALSE)</f>
        <v>#N/A</v>
      </c>
      <c r="G55" s="16" t="e">
        <f t="shared" si="1"/>
        <v>#N/A</v>
      </c>
      <c r="H55" s="1"/>
    </row>
    <row r="56" spans="3:8" ht="24.65" customHeight="1">
      <c r="C56" s="5" t="e">
        <f>VLOOKUP($A56, 'Job Data'!$A$2:$P$220,2, FALSE)</f>
        <v>#N/A</v>
      </c>
      <c r="D56" s="5" t="e">
        <f>VLOOKUP($A56, 'Job Data'!$A$2:$P$220,3, FALSE)</f>
        <v>#N/A</v>
      </c>
      <c r="E56" s="5" t="e">
        <f>VLOOKUP($A56, 'Job Data'!$A$2:$P$220,14, FALSE)</f>
        <v>#N/A</v>
      </c>
      <c r="F56" s="1" t="e">
        <f>VLOOKUP($A56, 'Job Data'!$A$2:$P$220,15, FALSE)</f>
        <v>#N/A</v>
      </c>
      <c r="G56" s="16" t="e">
        <f t="shared" si="1"/>
        <v>#N/A</v>
      </c>
      <c r="H56" s="1"/>
    </row>
    <row r="57" spans="3:8" ht="24.65" customHeight="1">
      <c r="C57" s="5" t="e">
        <f>VLOOKUP($A57, 'Job Data'!$A$2:$P$220,2, FALSE)</f>
        <v>#N/A</v>
      </c>
      <c r="D57" s="5" t="e">
        <f>VLOOKUP($A57, 'Job Data'!$A$2:$P$220,3, FALSE)</f>
        <v>#N/A</v>
      </c>
      <c r="E57" s="5" t="e">
        <f>VLOOKUP($A57, 'Job Data'!$A$2:$P$220,14, FALSE)</f>
        <v>#N/A</v>
      </c>
      <c r="F57" s="1" t="e">
        <f>VLOOKUP($A57, 'Job Data'!$A$2:$P$220,15, FALSE)</f>
        <v>#N/A</v>
      </c>
      <c r="G57" s="16" t="e">
        <f t="shared" si="1"/>
        <v>#N/A</v>
      </c>
      <c r="H57" s="1"/>
    </row>
    <row r="58" spans="3:8" ht="24.65" customHeight="1">
      <c r="C58" s="5" t="e">
        <f>VLOOKUP($A58, 'Job Data'!$A$2:$P$220,2, FALSE)</f>
        <v>#N/A</v>
      </c>
      <c r="D58" s="5" t="e">
        <f>VLOOKUP($A58, 'Job Data'!$A$2:$P$220,3, FALSE)</f>
        <v>#N/A</v>
      </c>
      <c r="E58" s="5" t="e">
        <f>VLOOKUP($A58, 'Job Data'!$A$2:$P$220,14, FALSE)</f>
        <v>#N/A</v>
      </c>
      <c r="F58" s="1" t="e">
        <f>VLOOKUP($A58, 'Job Data'!$A$2:$P$220,15, FALSE)</f>
        <v>#N/A</v>
      </c>
      <c r="G58" s="16" t="e">
        <f t="shared" si="1"/>
        <v>#N/A</v>
      </c>
      <c r="H58" s="1"/>
    </row>
    <row r="59" spans="3:8" ht="24.65" customHeight="1">
      <c r="C59" s="5" t="e">
        <f>VLOOKUP($A59, 'Job Data'!$A$2:$P$220,2, FALSE)</f>
        <v>#N/A</v>
      </c>
      <c r="D59" s="5" t="e">
        <f>VLOOKUP($A59, 'Job Data'!$A$2:$P$220,3, FALSE)</f>
        <v>#N/A</v>
      </c>
      <c r="E59" s="5" t="e">
        <f>VLOOKUP($A59, 'Job Data'!$A$2:$P$220,14, FALSE)</f>
        <v>#N/A</v>
      </c>
      <c r="F59" s="1" t="e">
        <f>VLOOKUP($A59, 'Job Data'!$A$2:$P$220,15, FALSE)</f>
        <v>#N/A</v>
      </c>
      <c r="G59" s="16" t="e">
        <f t="shared" si="1"/>
        <v>#N/A</v>
      </c>
      <c r="H59" s="1"/>
    </row>
    <row r="60" spans="3:8" ht="24.65" customHeight="1">
      <c r="C60" s="5" t="e">
        <f>VLOOKUP($A60, 'Job Data'!$A$2:$P$220,2, FALSE)</f>
        <v>#N/A</v>
      </c>
      <c r="D60" s="5" t="e">
        <f>VLOOKUP($A60, 'Job Data'!$A$2:$P$220,3, FALSE)</f>
        <v>#N/A</v>
      </c>
      <c r="E60" s="5" t="e">
        <f>VLOOKUP($A60, 'Job Data'!$A$2:$P$220,14, FALSE)</f>
        <v>#N/A</v>
      </c>
      <c r="F60" s="1" t="e">
        <f>VLOOKUP($A60, 'Job Data'!$A$2:$P$220,15, FALSE)</f>
        <v>#N/A</v>
      </c>
      <c r="G60" s="16" t="e">
        <f t="shared" si="1"/>
        <v>#N/A</v>
      </c>
      <c r="H60" s="1"/>
    </row>
    <row r="61" spans="3:8" ht="24.65" customHeight="1">
      <c r="C61" s="5" t="e">
        <f>VLOOKUP($A61, 'Job Data'!$A$2:$P$220,2, FALSE)</f>
        <v>#N/A</v>
      </c>
      <c r="D61" s="5" t="e">
        <f>VLOOKUP($A61, 'Job Data'!$A$2:$P$220,3, FALSE)</f>
        <v>#N/A</v>
      </c>
      <c r="E61" s="5" t="e">
        <f>VLOOKUP($A61, 'Job Data'!$A$2:$P$220,14, FALSE)</f>
        <v>#N/A</v>
      </c>
      <c r="F61" s="1" t="e">
        <f>VLOOKUP($A61, 'Job Data'!$A$2:$P$220,15, FALSE)</f>
        <v>#N/A</v>
      </c>
      <c r="G61" s="16" t="e">
        <f t="shared" si="1"/>
        <v>#N/A</v>
      </c>
      <c r="H61" s="1"/>
    </row>
    <row r="62" spans="3:8" ht="24.65" customHeight="1">
      <c r="C62" s="5" t="e">
        <f>VLOOKUP($A62, 'Job Data'!$A$2:$P$220,2, FALSE)</f>
        <v>#N/A</v>
      </c>
      <c r="D62" s="5" t="e">
        <f>VLOOKUP($A62, 'Job Data'!$A$2:$P$220,3, FALSE)</f>
        <v>#N/A</v>
      </c>
      <c r="E62" s="5" t="e">
        <f>VLOOKUP($A62, 'Job Data'!$A$2:$P$220,14, FALSE)</f>
        <v>#N/A</v>
      </c>
      <c r="F62" s="1" t="e">
        <f>VLOOKUP($A62, 'Job Data'!$A$2:$P$220,15, FALSE)</f>
        <v>#N/A</v>
      </c>
      <c r="G62" s="16" t="e">
        <f t="shared" si="1"/>
        <v>#N/A</v>
      </c>
      <c r="H62" s="1"/>
    </row>
    <row r="63" spans="3:8" ht="24.65" customHeight="1">
      <c r="C63" s="5" t="e">
        <f>VLOOKUP($A63, 'Job Data'!$A$2:$P$220,2, FALSE)</f>
        <v>#N/A</v>
      </c>
      <c r="D63" s="5" t="e">
        <f>VLOOKUP($A63, 'Job Data'!$A$2:$P$220,3, FALSE)</f>
        <v>#N/A</v>
      </c>
      <c r="E63" s="5" t="e">
        <f>VLOOKUP($A63, 'Job Data'!$A$2:$P$220,14, FALSE)</f>
        <v>#N/A</v>
      </c>
      <c r="F63" s="1" t="e">
        <f>VLOOKUP($A63, 'Job Data'!$A$2:$P$220,15, FALSE)</f>
        <v>#N/A</v>
      </c>
      <c r="G63" s="16" t="e">
        <f t="shared" si="1"/>
        <v>#N/A</v>
      </c>
      <c r="H63" s="1"/>
    </row>
    <row r="64" spans="3:8" ht="24.65" customHeight="1">
      <c r="C64" s="5" t="e">
        <f>VLOOKUP($A64, 'Job Data'!$A$2:$P$220,2, FALSE)</f>
        <v>#N/A</v>
      </c>
      <c r="D64" s="5" t="e">
        <f>VLOOKUP($A64, 'Job Data'!$A$2:$P$220,3, FALSE)</f>
        <v>#N/A</v>
      </c>
      <c r="E64" s="5" t="e">
        <f>VLOOKUP($A64, 'Job Data'!$A$2:$P$220,14, FALSE)</f>
        <v>#N/A</v>
      </c>
      <c r="F64" s="1" t="e">
        <f>VLOOKUP($A64, 'Job Data'!$A$2:$P$220,15, FALSE)</f>
        <v>#N/A</v>
      </c>
      <c r="G64" s="16" t="e">
        <f t="shared" si="1"/>
        <v>#N/A</v>
      </c>
      <c r="H64" s="1"/>
    </row>
    <row r="65" spans="3:8" ht="24.65" customHeight="1">
      <c r="C65" s="5" t="e">
        <f>VLOOKUP($A65, 'Job Data'!$A$2:$P$220,2, FALSE)</f>
        <v>#N/A</v>
      </c>
      <c r="D65" s="5" t="e">
        <f>VLOOKUP($A65, 'Job Data'!$A$2:$P$220,3, FALSE)</f>
        <v>#N/A</v>
      </c>
      <c r="E65" s="5" t="e">
        <f>VLOOKUP($A65, 'Job Data'!$A$2:$P$220,14, FALSE)</f>
        <v>#N/A</v>
      </c>
      <c r="F65" s="1" t="e">
        <f>VLOOKUP($A65, 'Job Data'!$A$2:$P$220,15, FALSE)</f>
        <v>#N/A</v>
      </c>
      <c r="G65" s="16" t="e">
        <f t="shared" si="1"/>
        <v>#N/A</v>
      </c>
      <c r="H65" s="1"/>
    </row>
    <row r="66" spans="3:8" ht="24.65" customHeight="1">
      <c r="C66" s="5" t="e">
        <f>VLOOKUP($A66, 'Job Data'!$A$2:$P$220,2, FALSE)</f>
        <v>#N/A</v>
      </c>
      <c r="D66" s="5" t="e">
        <f>VLOOKUP($A66, 'Job Data'!$A$2:$P$220,3, FALSE)</f>
        <v>#N/A</v>
      </c>
      <c r="E66" s="5" t="e">
        <f>VLOOKUP($A66, 'Job Data'!$A$2:$P$220,14, FALSE)</f>
        <v>#N/A</v>
      </c>
      <c r="F66" s="1" t="e">
        <f>VLOOKUP($A66, 'Job Data'!$A$2:$P$220,15, FALSE)</f>
        <v>#N/A</v>
      </c>
      <c r="G66" s="16" t="e">
        <f t="shared" si="1"/>
        <v>#N/A</v>
      </c>
      <c r="H66" s="1"/>
    </row>
    <row r="67" spans="3:8" ht="24.65" customHeight="1">
      <c r="C67" s="5" t="e">
        <f>VLOOKUP($A67, 'Job Data'!$A$2:$P$220,2, FALSE)</f>
        <v>#N/A</v>
      </c>
      <c r="D67" s="5" t="e">
        <f>VLOOKUP($A67, 'Job Data'!$A$2:$P$220,3, FALSE)</f>
        <v>#N/A</v>
      </c>
      <c r="E67" s="5" t="e">
        <f>VLOOKUP($A67, 'Job Data'!$A$2:$P$220,14, FALSE)</f>
        <v>#N/A</v>
      </c>
      <c r="F67" s="1" t="e">
        <f>VLOOKUP($A67, 'Job Data'!$A$2:$P$220,15, FALSE)</f>
        <v>#N/A</v>
      </c>
      <c r="G67" s="16" t="e">
        <f t="shared" si="1"/>
        <v>#N/A</v>
      </c>
      <c r="H67" s="1"/>
    </row>
    <row r="68" spans="3:8" ht="24.65" customHeight="1">
      <c r="C68" s="5" t="e">
        <f>VLOOKUP($A68, 'Job Data'!$A$2:$P$220,2, FALSE)</f>
        <v>#N/A</v>
      </c>
      <c r="D68" s="5" t="e">
        <f>VLOOKUP($A68, 'Job Data'!$A$2:$P$220,3, FALSE)</f>
        <v>#N/A</v>
      </c>
      <c r="E68" s="5" t="e">
        <f>VLOOKUP($A68, 'Job Data'!$A$2:$P$220,14, FALSE)</f>
        <v>#N/A</v>
      </c>
      <c r="F68" s="1" t="e">
        <f>VLOOKUP($A68, 'Job Data'!$A$2:$P$220,15, FALSE)</f>
        <v>#N/A</v>
      </c>
      <c r="G68" s="16" t="e">
        <f t="shared" si="1"/>
        <v>#N/A</v>
      </c>
      <c r="H68" s="1"/>
    </row>
    <row r="69" spans="3:8" ht="24.65" customHeight="1">
      <c r="C69" s="5" t="e">
        <f>VLOOKUP($A69, 'Job Data'!$A$2:$P$220,2, FALSE)</f>
        <v>#N/A</v>
      </c>
      <c r="D69" s="5" t="e">
        <f>VLOOKUP($A69, 'Job Data'!$A$2:$P$220,3, FALSE)</f>
        <v>#N/A</v>
      </c>
      <c r="E69" s="5" t="e">
        <f>VLOOKUP($A69, 'Job Data'!$A$2:$P$220,14, FALSE)</f>
        <v>#N/A</v>
      </c>
      <c r="F69" s="1" t="e">
        <f>VLOOKUP($A69, 'Job Data'!$A$2:$P$220,15, FALSE)</f>
        <v>#N/A</v>
      </c>
      <c r="G69" s="16" t="e">
        <f t="shared" si="1"/>
        <v>#N/A</v>
      </c>
      <c r="H69" s="1"/>
    </row>
    <row r="70" spans="3:8" ht="24.65" customHeight="1">
      <c r="C70" s="5" t="e">
        <f>VLOOKUP($A70, 'Job Data'!$A$2:$P$220,2, FALSE)</f>
        <v>#N/A</v>
      </c>
      <c r="D70" s="5" t="e">
        <f>VLOOKUP($A70, 'Job Data'!$A$2:$P$220,3, FALSE)</f>
        <v>#N/A</v>
      </c>
      <c r="E70" s="5" t="e">
        <f>VLOOKUP($A70, 'Job Data'!$A$2:$P$220,14, FALSE)</f>
        <v>#N/A</v>
      </c>
      <c r="F70" s="1" t="e">
        <f>VLOOKUP($A70, 'Job Data'!$A$2:$P$220,15, FALSE)</f>
        <v>#N/A</v>
      </c>
      <c r="G70" s="16" t="e">
        <f t="shared" si="1"/>
        <v>#N/A</v>
      </c>
      <c r="H70" s="1"/>
    </row>
    <row r="71" spans="3:8" ht="24.65" customHeight="1">
      <c r="C71" s="5" t="e">
        <f>VLOOKUP($A71, 'Job Data'!$A$2:$P$220,2, FALSE)</f>
        <v>#N/A</v>
      </c>
      <c r="D71" s="5" t="e">
        <f>VLOOKUP($A71, 'Job Data'!$A$2:$P$220,3, FALSE)</f>
        <v>#N/A</v>
      </c>
      <c r="E71" s="5" t="e">
        <f>VLOOKUP($A71, 'Job Data'!$A$2:$P$220,14, FALSE)</f>
        <v>#N/A</v>
      </c>
      <c r="F71" s="1" t="e">
        <f>VLOOKUP($A71, 'Job Data'!$A$2:$P$220,15, FALSE)</f>
        <v>#N/A</v>
      </c>
      <c r="G71" s="16" t="e">
        <f t="shared" ref="G71:G102" si="2">HYPERLINK(SUBSTITUTE(SUBSTITUTE(F71, "C:\Users\wubia\OneDrive - Longi Magnet Australia Pty ltd\Documents - Longi Australia", "C:\Users\lucaliu\Longi Magnet Australia Pty ltd\Longi Australia - Documents"), "\\", "\\"),"Open Project Folder")</f>
        <v>#N/A</v>
      </c>
      <c r="H71" s="1"/>
    </row>
    <row r="72" spans="3:8" ht="24.65" customHeight="1">
      <c r="C72" s="5" t="e">
        <f>VLOOKUP($A72, 'Job Data'!$A$2:$P$220,2, FALSE)</f>
        <v>#N/A</v>
      </c>
      <c r="D72" s="5" t="e">
        <f>VLOOKUP($A72, 'Job Data'!$A$2:$P$220,3, FALSE)</f>
        <v>#N/A</v>
      </c>
      <c r="E72" s="5" t="e">
        <f>VLOOKUP($A72, 'Job Data'!$A$2:$P$220,14, FALSE)</f>
        <v>#N/A</v>
      </c>
      <c r="F72" s="1" t="e">
        <f>VLOOKUP($A72, 'Job Data'!$A$2:$P$220,15, FALSE)</f>
        <v>#N/A</v>
      </c>
      <c r="G72" s="16" t="e">
        <f t="shared" si="2"/>
        <v>#N/A</v>
      </c>
      <c r="H72" s="1"/>
    </row>
    <row r="73" spans="3:8" ht="24.65" customHeight="1">
      <c r="C73" s="5" t="e">
        <f>VLOOKUP($A73, 'Job Data'!$A$2:$P$220,2, FALSE)</f>
        <v>#N/A</v>
      </c>
      <c r="D73" s="5" t="e">
        <f>VLOOKUP($A73, 'Job Data'!$A$2:$P$220,3, FALSE)</f>
        <v>#N/A</v>
      </c>
      <c r="E73" s="5" t="e">
        <f>VLOOKUP($A73, 'Job Data'!$A$2:$P$220,14, FALSE)</f>
        <v>#N/A</v>
      </c>
      <c r="F73" s="1" t="e">
        <f>VLOOKUP($A73, 'Job Data'!$A$2:$P$220,15, FALSE)</f>
        <v>#N/A</v>
      </c>
      <c r="G73" s="16" t="e">
        <f t="shared" si="2"/>
        <v>#N/A</v>
      </c>
      <c r="H73" s="1"/>
    </row>
    <row r="74" spans="3:8" ht="24.65" customHeight="1">
      <c r="C74" s="5" t="e">
        <f>VLOOKUP($A74, 'Job Data'!$A$2:$P$220,2, FALSE)</f>
        <v>#N/A</v>
      </c>
      <c r="D74" s="5" t="e">
        <f>VLOOKUP($A74, 'Job Data'!$A$2:$P$220,3, FALSE)</f>
        <v>#N/A</v>
      </c>
      <c r="E74" s="5" t="e">
        <f>VLOOKUP($A74, 'Job Data'!$A$2:$P$220,14, FALSE)</f>
        <v>#N/A</v>
      </c>
      <c r="F74" s="1" t="e">
        <f>VLOOKUP($A74, 'Job Data'!$A$2:$P$220,15, FALSE)</f>
        <v>#N/A</v>
      </c>
      <c r="G74" s="16" t="e">
        <f t="shared" si="2"/>
        <v>#N/A</v>
      </c>
      <c r="H74" s="1"/>
    </row>
    <row r="75" spans="3:8" ht="24.65" customHeight="1">
      <c r="C75" s="5" t="e">
        <f>VLOOKUP($A75, 'Job Data'!$A$2:$P$220,2, FALSE)</f>
        <v>#N/A</v>
      </c>
      <c r="D75" s="5" t="e">
        <f>VLOOKUP($A75, 'Job Data'!$A$2:$P$220,3, FALSE)</f>
        <v>#N/A</v>
      </c>
      <c r="E75" s="5" t="e">
        <f>VLOOKUP($A75, 'Job Data'!$A$2:$P$220,14, FALSE)</f>
        <v>#N/A</v>
      </c>
      <c r="F75" s="1" t="e">
        <f>VLOOKUP($A75, 'Job Data'!$A$2:$P$220,15, FALSE)</f>
        <v>#N/A</v>
      </c>
      <c r="G75" s="16" t="e">
        <f t="shared" si="2"/>
        <v>#N/A</v>
      </c>
      <c r="H75" s="1"/>
    </row>
    <row r="76" spans="3:8" ht="24.65" customHeight="1">
      <c r="C76" s="5" t="e">
        <f>VLOOKUP($A76, 'Job Data'!$A$2:$P$220,2, FALSE)</f>
        <v>#N/A</v>
      </c>
      <c r="D76" s="5" t="e">
        <f>VLOOKUP($A76, 'Job Data'!$A$2:$P$220,3, FALSE)</f>
        <v>#N/A</v>
      </c>
      <c r="E76" s="5" t="e">
        <f>VLOOKUP($A76, 'Job Data'!$A$2:$P$220,14, FALSE)</f>
        <v>#N/A</v>
      </c>
      <c r="F76" s="1" t="e">
        <f>VLOOKUP($A76, 'Job Data'!$A$2:$P$220,15, FALSE)</f>
        <v>#N/A</v>
      </c>
      <c r="G76" s="16" t="e">
        <f t="shared" si="2"/>
        <v>#N/A</v>
      </c>
      <c r="H76" s="1"/>
    </row>
    <row r="77" spans="3:8" ht="24.65" customHeight="1">
      <c r="C77" s="5" t="e">
        <f>VLOOKUP($A77, 'Job Data'!$A$2:$P$220,2, FALSE)</f>
        <v>#N/A</v>
      </c>
      <c r="D77" s="5" t="e">
        <f>VLOOKUP($A77, 'Job Data'!$A$2:$P$220,3, FALSE)</f>
        <v>#N/A</v>
      </c>
      <c r="E77" s="5" t="e">
        <f>VLOOKUP($A77, 'Job Data'!$A$2:$P$220,14, FALSE)</f>
        <v>#N/A</v>
      </c>
      <c r="F77" s="1" t="e">
        <f>VLOOKUP($A77, 'Job Data'!$A$2:$P$220,15, FALSE)</f>
        <v>#N/A</v>
      </c>
      <c r="G77" s="16" t="e">
        <f t="shared" si="2"/>
        <v>#N/A</v>
      </c>
      <c r="H77" s="1"/>
    </row>
    <row r="78" spans="3:8" ht="24.65" customHeight="1">
      <c r="C78" s="5" t="e">
        <f>VLOOKUP($A78, 'Job Data'!$A$2:$P$220,2, FALSE)</f>
        <v>#N/A</v>
      </c>
      <c r="D78" s="5" t="e">
        <f>VLOOKUP($A78, 'Job Data'!$A$2:$P$220,3, FALSE)</f>
        <v>#N/A</v>
      </c>
      <c r="E78" s="5" t="e">
        <f>VLOOKUP($A78, 'Job Data'!$A$2:$P$220,14, FALSE)</f>
        <v>#N/A</v>
      </c>
      <c r="F78" s="1" t="e">
        <f>VLOOKUP($A78, 'Job Data'!$A$2:$P$220,15, FALSE)</f>
        <v>#N/A</v>
      </c>
      <c r="G78" s="16" t="e">
        <f t="shared" si="2"/>
        <v>#N/A</v>
      </c>
      <c r="H78" s="1"/>
    </row>
    <row r="79" spans="3:8" ht="24.65" customHeight="1">
      <c r="C79" s="5" t="e">
        <f>VLOOKUP($A79, 'Job Data'!$A$2:$P$220,2, FALSE)</f>
        <v>#N/A</v>
      </c>
      <c r="D79" s="5" t="e">
        <f>VLOOKUP($A79, 'Job Data'!$A$2:$P$220,3, FALSE)</f>
        <v>#N/A</v>
      </c>
      <c r="E79" s="5" t="e">
        <f>VLOOKUP($A79, 'Job Data'!$A$2:$P$220,14, FALSE)</f>
        <v>#N/A</v>
      </c>
      <c r="F79" s="1" t="e">
        <f>VLOOKUP($A79, 'Job Data'!$A$2:$P$220,15, FALSE)</f>
        <v>#N/A</v>
      </c>
      <c r="G79" s="16" t="e">
        <f t="shared" si="2"/>
        <v>#N/A</v>
      </c>
      <c r="H79" s="1"/>
    </row>
    <row r="80" spans="3:8" ht="24.65" customHeight="1">
      <c r="C80" s="5" t="e">
        <f>VLOOKUP($A80, 'Job Data'!$A$2:$P$220,2, FALSE)</f>
        <v>#N/A</v>
      </c>
      <c r="D80" s="5" t="e">
        <f>VLOOKUP($A80, 'Job Data'!$A$2:$P$220,3, FALSE)</f>
        <v>#N/A</v>
      </c>
      <c r="E80" s="5" t="e">
        <f>VLOOKUP($A80, 'Job Data'!$A$2:$P$220,14, FALSE)</f>
        <v>#N/A</v>
      </c>
      <c r="F80" s="1" t="e">
        <f>VLOOKUP($A80, 'Job Data'!$A$2:$P$220,15, FALSE)</f>
        <v>#N/A</v>
      </c>
      <c r="G80" s="16" t="e">
        <f t="shared" si="2"/>
        <v>#N/A</v>
      </c>
      <c r="H80" s="1"/>
    </row>
    <row r="81" spans="3:8" ht="24.65" customHeight="1">
      <c r="C81" s="5" t="e">
        <f>VLOOKUP($A81, 'Job Data'!$A$2:$P$220,2, FALSE)</f>
        <v>#N/A</v>
      </c>
      <c r="D81" s="5" t="e">
        <f>VLOOKUP($A81, 'Job Data'!$A$2:$P$220,3, FALSE)</f>
        <v>#N/A</v>
      </c>
      <c r="E81" s="5" t="e">
        <f>VLOOKUP($A81, 'Job Data'!$A$2:$P$220,14, FALSE)</f>
        <v>#N/A</v>
      </c>
      <c r="F81" s="1" t="e">
        <f>VLOOKUP($A81, 'Job Data'!$A$2:$P$220,15, FALSE)</f>
        <v>#N/A</v>
      </c>
      <c r="G81" s="16" t="e">
        <f t="shared" si="2"/>
        <v>#N/A</v>
      </c>
      <c r="H81" s="1"/>
    </row>
    <row r="82" spans="3:8" ht="24.65" customHeight="1">
      <c r="C82" s="5" t="e">
        <f>VLOOKUP($A82, 'Job Data'!$A$2:$P$220,2, FALSE)</f>
        <v>#N/A</v>
      </c>
      <c r="D82" s="5" t="e">
        <f>VLOOKUP($A82, 'Job Data'!$A$2:$P$220,3, FALSE)</f>
        <v>#N/A</v>
      </c>
      <c r="E82" s="5" t="e">
        <f>VLOOKUP($A82, 'Job Data'!$A$2:$P$220,14, FALSE)</f>
        <v>#N/A</v>
      </c>
      <c r="F82" s="1" t="e">
        <f>VLOOKUP($A82, 'Job Data'!$A$2:$P$220,15, FALSE)</f>
        <v>#N/A</v>
      </c>
      <c r="G82" s="16" t="e">
        <f t="shared" si="2"/>
        <v>#N/A</v>
      </c>
      <c r="H82" s="1"/>
    </row>
    <row r="83" spans="3:8" ht="24.65" customHeight="1">
      <c r="C83" s="5" t="e">
        <f>VLOOKUP($A83, 'Job Data'!$A$2:$P$220,2, FALSE)</f>
        <v>#N/A</v>
      </c>
      <c r="D83" s="5" t="e">
        <f>VLOOKUP($A83, 'Job Data'!$A$2:$P$220,3, FALSE)</f>
        <v>#N/A</v>
      </c>
      <c r="E83" s="5" t="e">
        <f>VLOOKUP($A83, 'Job Data'!$A$2:$P$220,14, FALSE)</f>
        <v>#N/A</v>
      </c>
      <c r="F83" s="1" t="e">
        <f>VLOOKUP($A83, 'Job Data'!$A$2:$P$220,15, FALSE)</f>
        <v>#N/A</v>
      </c>
      <c r="G83" s="16" t="e">
        <f t="shared" si="2"/>
        <v>#N/A</v>
      </c>
      <c r="H83" s="1"/>
    </row>
    <row r="84" spans="3:8" ht="24.65" customHeight="1">
      <c r="C84" s="5" t="e">
        <f>VLOOKUP($A84, 'Job Data'!$A$2:$P$220,2, FALSE)</f>
        <v>#N/A</v>
      </c>
      <c r="D84" s="5" t="e">
        <f>VLOOKUP($A84, 'Job Data'!$A$2:$P$220,3, FALSE)</f>
        <v>#N/A</v>
      </c>
      <c r="E84" s="5" t="e">
        <f>VLOOKUP($A84, 'Job Data'!$A$2:$P$220,14, FALSE)</f>
        <v>#N/A</v>
      </c>
      <c r="F84" s="1" t="e">
        <f>VLOOKUP($A84, 'Job Data'!$A$2:$P$220,15, FALSE)</f>
        <v>#N/A</v>
      </c>
      <c r="G84" s="16" t="e">
        <f t="shared" si="2"/>
        <v>#N/A</v>
      </c>
      <c r="H84" s="1"/>
    </row>
    <row r="85" spans="3:8" ht="24.65" customHeight="1">
      <c r="C85" s="5" t="e">
        <f>VLOOKUP($A85, 'Job Data'!$A$2:$P$220,2, FALSE)</f>
        <v>#N/A</v>
      </c>
      <c r="D85" s="5" t="e">
        <f>VLOOKUP($A85, 'Job Data'!$A$2:$P$220,3, FALSE)</f>
        <v>#N/A</v>
      </c>
      <c r="E85" s="5" t="e">
        <f>VLOOKUP($A85, 'Job Data'!$A$2:$P$220,14, FALSE)</f>
        <v>#N/A</v>
      </c>
      <c r="F85" s="1" t="e">
        <f>VLOOKUP($A85, 'Job Data'!$A$2:$P$220,15, FALSE)</f>
        <v>#N/A</v>
      </c>
      <c r="G85" s="16" t="e">
        <f t="shared" si="2"/>
        <v>#N/A</v>
      </c>
      <c r="H85" s="1"/>
    </row>
    <row r="86" spans="3:8" ht="24.65" customHeight="1">
      <c r="C86" s="5" t="e">
        <f>VLOOKUP($A86, 'Job Data'!$A$2:$P$220,2, FALSE)</f>
        <v>#N/A</v>
      </c>
      <c r="D86" s="5" t="e">
        <f>VLOOKUP($A86, 'Job Data'!$A$2:$P$220,3, FALSE)</f>
        <v>#N/A</v>
      </c>
      <c r="E86" s="5" t="e">
        <f>VLOOKUP($A86, 'Job Data'!$A$2:$P$220,14, FALSE)</f>
        <v>#N/A</v>
      </c>
      <c r="F86" s="1" t="e">
        <f>VLOOKUP($A86, 'Job Data'!$A$2:$P$220,15, FALSE)</f>
        <v>#N/A</v>
      </c>
      <c r="G86" s="16" t="e">
        <f t="shared" si="2"/>
        <v>#N/A</v>
      </c>
      <c r="H86" s="1"/>
    </row>
    <row r="87" spans="3:8" ht="24.65" customHeight="1">
      <c r="C87" s="5" t="e">
        <f>VLOOKUP($A87, 'Job Data'!$A$2:$P$220,2, FALSE)</f>
        <v>#N/A</v>
      </c>
      <c r="D87" s="5" t="e">
        <f>VLOOKUP($A87, 'Job Data'!$A$2:$P$220,3, FALSE)</f>
        <v>#N/A</v>
      </c>
      <c r="E87" s="5" t="e">
        <f>VLOOKUP($A87, 'Job Data'!$A$2:$P$220,14, FALSE)</f>
        <v>#N/A</v>
      </c>
      <c r="F87" s="1" t="e">
        <f>VLOOKUP($A87, 'Job Data'!$A$2:$P$220,15, FALSE)</f>
        <v>#N/A</v>
      </c>
      <c r="G87" s="16" t="e">
        <f t="shared" si="2"/>
        <v>#N/A</v>
      </c>
      <c r="H87" s="1"/>
    </row>
    <row r="88" spans="3:8" ht="24.65" customHeight="1">
      <c r="C88" s="5" t="e">
        <f>VLOOKUP($A88, 'Job Data'!$A$2:$P$220,2, FALSE)</f>
        <v>#N/A</v>
      </c>
      <c r="D88" s="5" t="e">
        <f>VLOOKUP($A88, 'Job Data'!$A$2:$P$220,3, FALSE)</f>
        <v>#N/A</v>
      </c>
      <c r="E88" s="5" t="e">
        <f>VLOOKUP($A88, 'Job Data'!$A$2:$P$220,14, FALSE)</f>
        <v>#N/A</v>
      </c>
      <c r="F88" s="1" t="e">
        <f>VLOOKUP($A88, 'Job Data'!$A$2:$P$220,15, FALSE)</f>
        <v>#N/A</v>
      </c>
      <c r="G88" s="16" t="e">
        <f t="shared" si="2"/>
        <v>#N/A</v>
      </c>
      <c r="H88" s="1"/>
    </row>
    <row r="89" spans="3:8" ht="24.65" customHeight="1">
      <c r="C89" s="5" t="e">
        <f>VLOOKUP($A89, 'Job Data'!$A$2:$P$220,2, FALSE)</f>
        <v>#N/A</v>
      </c>
      <c r="D89" s="5" t="e">
        <f>VLOOKUP($A89, 'Job Data'!$A$2:$P$220,3, FALSE)</f>
        <v>#N/A</v>
      </c>
      <c r="E89" s="5" t="e">
        <f>VLOOKUP($A89, 'Job Data'!$A$2:$P$220,14, FALSE)</f>
        <v>#N/A</v>
      </c>
      <c r="F89" s="1" t="e">
        <f>VLOOKUP($A89, 'Job Data'!$A$2:$P$220,15, FALSE)</f>
        <v>#N/A</v>
      </c>
      <c r="G89" s="16" t="e">
        <f t="shared" si="2"/>
        <v>#N/A</v>
      </c>
      <c r="H89" s="1"/>
    </row>
    <row r="90" spans="3:8" ht="24.65" customHeight="1">
      <c r="C90" s="5" t="e">
        <f>VLOOKUP($A90, 'Job Data'!$A$2:$P$220,2, FALSE)</f>
        <v>#N/A</v>
      </c>
      <c r="D90" s="5" t="e">
        <f>VLOOKUP($A90, 'Job Data'!$A$2:$P$220,3, FALSE)</f>
        <v>#N/A</v>
      </c>
      <c r="E90" s="5" t="e">
        <f>VLOOKUP($A90, 'Job Data'!$A$2:$P$220,14, FALSE)</f>
        <v>#N/A</v>
      </c>
      <c r="F90" s="1" t="e">
        <f>VLOOKUP($A90, 'Job Data'!$A$2:$P$220,15, FALSE)</f>
        <v>#N/A</v>
      </c>
      <c r="G90" s="16" t="e">
        <f t="shared" si="2"/>
        <v>#N/A</v>
      </c>
      <c r="H90" s="1"/>
    </row>
    <row r="91" spans="3:8" ht="24.65" customHeight="1">
      <c r="C91" s="5" t="e">
        <f>VLOOKUP($A91, 'Job Data'!$A$2:$P$220,2, FALSE)</f>
        <v>#N/A</v>
      </c>
      <c r="D91" s="5" t="e">
        <f>VLOOKUP($A91, 'Job Data'!$A$2:$P$220,3, FALSE)</f>
        <v>#N/A</v>
      </c>
      <c r="E91" s="5" t="e">
        <f>VLOOKUP($A91, 'Job Data'!$A$2:$P$220,14, FALSE)</f>
        <v>#N/A</v>
      </c>
      <c r="F91" s="1" t="e">
        <f>VLOOKUP($A91, 'Job Data'!$A$2:$P$220,15, FALSE)</f>
        <v>#N/A</v>
      </c>
      <c r="G91" s="16" t="e">
        <f t="shared" si="2"/>
        <v>#N/A</v>
      </c>
      <c r="H91" s="1"/>
    </row>
    <row r="92" spans="3:8" ht="24.65" customHeight="1">
      <c r="C92" s="5" t="e">
        <f>VLOOKUP($A92, 'Job Data'!$A$2:$P$220,2, FALSE)</f>
        <v>#N/A</v>
      </c>
      <c r="D92" s="5" t="e">
        <f>VLOOKUP($A92, 'Job Data'!$A$2:$P$220,3, FALSE)</f>
        <v>#N/A</v>
      </c>
      <c r="E92" s="5" t="e">
        <f>VLOOKUP($A92, 'Job Data'!$A$2:$P$220,14, FALSE)</f>
        <v>#N/A</v>
      </c>
      <c r="F92" s="1" t="e">
        <f>VLOOKUP($A92, 'Job Data'!$A$2:$P$220,15, FALSE)</f>
        <v>#N/A</v>
      </c>
      <c r="G92" s="16" t="e">
        <f t="shared" si="2"/>
        <v>#N/A</v>
      </c>
      <c r="H92" s="1"/>
    </row>
    <row r="93" spans="3:8" ht="24.65" customHeight="1">
      <c r="C93" s="5" t="e">
        <f>VLOOKUP($A93, 'Job Data'!$A$2:$P$220,2, FALSE)</f>
        <v>#N/A</v>
      </c>
      <c r="D93" s="5" t="e">
        <f>VLOOKUP($A93, 'Job Data'!$A$2:$P$220,3, FALSE)</f>
        <v>#N/A</v>
      </c>
      <c r="E93" s="5" t="e">
        <f>VLOOKUP($A93, 'Job Data'!$A$2:$P$220,14, FALSE)</f>
        <v>#N/A</v>
      </c>
      <c r="F93" s="1" t="e">
        <f>VLOOKUP($A93, 'Job Data'!$A$2:$P$220,15, FALSE)</f>
        <v>#N/A</v>
      </c>
      <c r="G93" s="16" t="e">
        <f t="shared" si="2"/>
        <v>#N/A</v>
      </c>
      <c r="H93" s="1"/>
    </row>
    <row r="94" spans="3:8" ht="24.65" customHeight="1">
      <c r="C94" s="5" t="e">
        <f>VLOOKUP($A94, 'Job Data'!$A$2:$P$220,2, FALSE)</f>
        <v>#N/A</v>
      </c>
      <c r="D94" s="5" t="e">
        <f>VLOOKUP($A94, 'Job Data'!$A$2:$P$220,3, FALSE)</f>
        <v>#N/A</v>
      </c>
      <c r="E94" s="5" t="e">
        <f>VLOOKUP($A94, 'Job Data'!$A$2:$P$220,14, FALSE)</f>
        <v>#N/A</v>
      </c>
      <c r="F94" s="1" t="e">
        <f>VLOOKUP($A94, 'Job Data'!$A$2:$P$220,15, FALSE)</f>
        <v>#N/A</v>
      </c>
      <c r="G94" s="16" t="e">
        <f t="shared" si="2"/>
        <v>#N/A</v>
      </c>
      <c r="H94" s="1"/>
    </row>
    <row r="95" spans="3:8" ht="24.65" customHeight="1">
      <c r="C95" s="5" t="e">
        <f>VLOOKUP($A95, 'Job Data'!$A$2:$P$220,2, FALSE)</f>
        <v>#N/A</v>
      </c>
      <c r="D95" s="5" t="e">
        <f>VLOOKUP($A95, 'Job Data'!$A$2:$P$220,3, FALSE)</f>
        <v>#N/A</v>
      </c>
      <c r="E95" s="5" t="e">
        <f>VLOOKUP($A95, 'Job Data'!$A$2:$P$220,14, FALSE)</f>
        <v>#N/A</v>
      </c>
      <c r="F95" s="1" t="e">
        <f>VLOOKUP($A95, 'Job Data'!$A$2:$P$220,15, FALSE)</f>
        <v>#N/A</v>
      </c>
      <c r="G95" s="16" t="e">
        <f t="shared" si="2"/>
        <v>#N/A</v>
      </c>
      <c r="H95" s="1"/>
    </row>
    <row r="96" spans="3:8" ht="24.65" customHeight="1">
      <c r="C96" s="5" t="e">
        <f>VLOOKUP($A96, 'Job Data'!$A$2:$P$220,2, FALSE)</f>
        <v>#N/A</v>
      </c>
      <c r="D96" s="5" t="e">
        <f>VLOOKUP($A96, 'Job Data'!$A$2:$P$220,3, FALSE)</f>
        <v>#N/A</v>
      </c>
      <c r="E96" s="5" t="e">
        <f>VLOOKUP($A96, 'Job Data'!$A$2:$P$220,14, FALSE)</f>
        <v>#N/A</v>
      </c>
      <c r="F96" s="1" t="e">
        <f>VLOOKUP($A96, 'Job Data'!$A$2:$P$220,15, FALSE)</f>
        <v>#N/A</v>
      </c>
      <c r="G96" s="16" t="e">
        <f t="shared" si="2"/>
        <v>#N/A</v>
      </c>
      <c r="H96" s="1"/>
    </row>
    <row r="97" spans="1:8" ht="24.65" customHeight="1">
      <c r="C97" s="5" t="e">
        <f>VLOOKUP($A97, 'Job Data'!$A$2:$P$220,2, FALSE)</f>
        <v>#N/A</v>
      </c>
      <c r="D97" s="5" t="e">
        <f>VLOOKUP($A97, 'Job Data'!$A$2:$P$220,3, FALSE)</f>
        <v>#N/A</v>
      </c>
      <c r="E97" s="5" t="e">
        <f>VLOOKUP($A97, 'Job Data'!$A$2:$P$220,14, FALSE)</f>
        <v>#N/A</v>
      </c>
      <c r="F97" s="1" t="e">
        <f>VLOOKUP($A97, 'Job Data'!$A$2:$P$220,15, FALSE)</f>
        <v>#N/A</v>
      </c>
      <c r="G97" s="16" t="e">
        <f t="shared" si="2"/>
        <v>#N/A</v>
      </c>
      <c r="H97" s="1"/>
    </row>
    <row r="98" spans="1:8" ht="24.65" customHeight="1">
      <c r="A98" s="5"/>
      <c r="B98" s="5"/>
      <c r="C98" s="5" t="e">
        <f>VLOOKUP($A98, 'Job Data'!$A$2:$P$220,2, FALSE)</f>
        <v>#N/A</v>
      </c>
      <c r="D98" s="5" t="e">
        <f>VLOOKUP($A98, 'Job Data'!$A$2:$P$220,3, FALSE)</f>
        <v>#N/A</v>
      </c>
      <c r="E98" s="5" t="e">
        <f>VLOOKUP($A98, 'Job Data'!$A$2:$P$220,14, FALSE)</f>
        <v>#N/A</v>
      </c>
      <c r="F98" s="1" t="e">
        <f>VLOOKUP($A98, 'Job Data'!$A$2:$P$220,15, FALSE)</f>
        <v>#N/A</v>
      </c>
      <c r="G98" s="16" t="e">
        <f t="shared" si="2"/>
        <v>#N/A</v>
      </c>
      <c r="H98" s="1"/>
    </row>
    <row r="99" spans="1:8" ht="24.65" customHeight="1">
      <c r="A99" s="5"/>
      <c r="B99" s="5"/>
      <c r="C99" s="5" t="e">
        <f>VLOOKUP($A99, 'Job Data'!$A$2:$P$220,2, FALSE)</f>
        <v>#N/A</v>
      </c>
      <c r="D99" s="5" t="e">
        <f>VLOOKUP($A99, 'Job Data'!$A$2:$P$220,3, FALSE)</f>
        <v>#N/A</v>
      </c>
      <c r="E99" s="5" t="e">
        <f>VLOOKUP($A99, 'Job Data'!$A$2:$P$220,14, FALSE)</f>
        <v>#N/A</v>
      </c>
      <c r="F99" s="1" t="e">
        <f>VLOOKUP($A99, 'Job Data'!$A$2:$P$220,15, FALSE)</f>
        <v>#N/A</v>
      </c>
      <c r="G99" s="16" t="e">
        <f t="shared" si="2"/>
        <v>#N/A</v>
      </c>
      <c r="H99" s="1"/>
    </row>
    <row r="100" spans="1:8" ht="24.65" customHeight="1">
      <c r="A100" s="5"/>
      <c r="B100" s="5"/>
      <c r="C100" s="5" t="e">
        <f>VLOOKUP($A100, 'Job Data'!$A$2:$P$220,2, FALSE)</f>
        <v>#N/A</v>
      </c>
      <c r="D100" s="5" t="e">
        <f>VLOOKUP($A100, 'Job Data'!$A$2:$P$220,3, FALSE)</f>
        <v>#N/A</v>
      </c>
      <c r="E100" s="5" t="e">
        <f>VLOOKUP($A100, 'Job Data'!$A$2:$P$220,14, FALSE)</f>
        <v>#N/A</v>
      </c>
      <c r="F100" s="1" t="e">
        <f>VLOOKUP($A100, 'Job Data'!$A$2:$P$220,15, FALSE)</f>
        <v>#N/A</v>
      </c>
      <c r="G100" s="16" t="e">
        <f t="shared" si="2"/>
        <v>#N/A</v>
      </c>
      <c r="H100" s="1"/>
    </row>
    <row r="101" spans="1:8" ht="24.65" customHeight="1">
      <c r="A101" s="5"/>
      <c r="B101" s="5"/>
      <c r="C101" s="5" t="e">
        <f>VLOOKUP($A101, 'Job Data'!$A$2:$P$220,2, FALSE)</f>
        <v>#N/A</v>
      </c>
      <c r="D101" s="5" t="e">
        <f>VLOOKUP($A101, 'Job Data'!$A$2:$P$220,3, FALSE)</f>
        <v>#N/A</v>
      </c>
      <c r="E101" s="5" t="e">
        <f>VLOOKUP($A101, 'Job Data'!$A$2:$P$220,14, FALSE)</f>
        <v>#N/A</v>
      </c>
      <c r="F101" s="1" t="e">
        <f>VLOOKUP($A101, 'Job Data'!$A$2:$P$220,15, FALSE)</f>
        <v>#N/A</v>
      </c>
      <c r="G101" s="16" t="e">
        <f t="shared" si="2"/>
        <v>#N/A</v>
      </c>
      <c r="H101" s="1"/>
    </row>
    <row r="102" spans="1:8" ht="24.65" customHeight="1">
      <c r="A102" s="5"/>
      <c r="B102" s="5"/>
      <c r="C102" s="5" t="e">
        <f>VLOOKUP($A102, 'Job Data'!$A$2:$P$220,2, FALSE)</f>
        <v>#N/A</v>
      </c>
      <c r="D102" s="5" t="e">
        <f>VLOOKUP($A102, 'Job Data'!$A$2:$P$220,3, FALSE)</f>
        <v>#N/A</v>
      </c>
      <c r="E102" s="5" t="e">
        <f>VLOOKUP($A102, 'Job Data'!$A$2:$P$220,14, FALSE)</f>
        <v>#N/A</v>
      </c>
      <c r="F102" s="1" t="e">
        <f>VLOOKUP($A102, 'Job Data'!$A$2:$P$220,15, FALSE)</f>
        <v>#N/A</v>
      </c>
      <c r="G102" s="16" t="e">
        <f t="shared" si="2"/>
        <v>#N/A</v>
      </c>
      <c r="H102" s="1"/>
    </row>
    <row r="103" spans="1:8" ht="24.65" customHeight="1">
      <c r="A103" s="5"/>
      <c r="B103" s="5"/>
      <c r="C103" s="5" t="e">
        <f>VLOOKUP($A103, 'Job Data'!$A$2:$P$220,2, FALSE)</f>
        <v>#N/A</v>
      </c>
      <c r="D103" s="5" t="e">
        <f>VLOOKUP($A103, 'Job Data'!$A$2:$P$220,3, FALSE)</f>
        <v>#N/A</v>
      </c>
      <c r="E103" s="5" t="e">
        <f>VLOOKUP($A103, 'Job Data'!$A$2:$P$220,14, FALSE)</f>
        <v>#N/A</v>
      </c>
      <c r="F103" s="1" t="e">
        <f>VLOOKUP($A103, 'Job Data'!$A$2:$P$220,15, FALSE)</f>
        <v>#N/A</v>
      </c>
      <c r="G103" s="16" t="e">
        <f t="shared" ref="G103:G124" si="3">HYPERLINK(SUBSTITUTE(SUBSTITUTE(F103, "C:\Users\wubia\OneDrive - Longi Magnet Australia Pty ltd\Documents - Longi Australia", "C:\Users\lucaliu\Longi Magnet Australia Pty ltd\Longi Australia - Documents"), "\\", "\\"),"Open Project Folder")</f>
        <v>#N/A</v>
      </c>
      <c r="H103" s="1"/>
    </row>
    <row r="104" spans="1:8" ht="24.65" customHeight="1">
      <c r="A104" s="5"/>
      <c r="B104" s="5"/>
      <c r="C104" s="5" t="e">
        <f>VLOOKUP($A104, 'Job Data'!$A$2:$P$220,2, FALSE)</f>
        <v>#N/A</v>
      </c>
      <c r="D104" s="5" t="e">
        <f>VLOOKUP($A104, 'Job Data'!$A$2:$P$220,3, FALSE)</f>
        <v>#N/A</v>
      </c>
      <c r="E104" s="5" t="e">
        <f>VLOOKUP($A104, 'Job Data'!$A$2:$P$220,14, FALSE)</f>
        <v>#N/A</v>
      </c>
      <c r="F104" s="1" t="e">
        <f>VLOOKUP($A104, 'Job Data'!$A$2:$P$220,15, FALSE)</f>
        <v>#N/A</v>
      </c>
      <c r="G104" s="16" t="e">
        <f t="shared" si="3"/>
        <v>#N/A</v>
      </c>
      <c r="H104" s="1"/>
    </row>
    <row r="105" spans="1:8" ht="24.65" customHeight="1">
      <c r="A105" s="5"/>
      <c r="B105" s="5"/>
      <c r="C105" s="5" t="e">
        <f>VLOOKUP($A105, 'Job Data'!$A$2:$P$220,2, FALSE)</f>
        <v>#N/A</v>
      </c>
      <c r="D105" s="5" t="e">
        <f>VLOOKUP($A105, 'Job Data'!$A$2:$P$220,3, FALSE)</f>
        <v>#N/A</v>
      </c>
      <c r="E105" s="5" t="e">
        <f>VLOOKUP($A105, 'Job Data'!$A$2:$P$220,14, FALSE)</f>
        <v>#N/A</v>
      </c>
      <c r="F105" s="1" t="e">
        <f>VLOOKUP($A105, 'Job Data'!$A$2:$P$220,15, FALSE)</f>
        <v>#N/A</v>
      </c>
      <c r="G105" s="16" t="e">
        <f t="shared" si="3"/>
        <v>#N/A</v>
      </c>
      <c r="H105" s="1"/>
    </row>
    <row r="106" spans="1:8" ht="24.65" customHeight="1">
      <c r="A106" s="5"/>
      <c r="B106" s="5"/>
      <c r="C106" s="5" t="e">
        <f>VLOOKUP($A106, 'Job Data'!$A$2:$P$220,2, FALSE)</f>
        <v>#N/A</v>
      </c>
      <c r="D106" s="5" t="e">
        <f>VLOOKUP($A106, 'Job Data'!$A$2:$P$220,3, FALSE)</f>
        <v>#N/A</v>
      </c>
      <c r="E106" s="5" t="e">
        <f>VLOOKUP($A106, 'Job Data'!$A$2:$P$220,14, FALSE)</f>
        <v>#N/A</v>
      </c>
      <c r="F106" s="1" t="e">
        <f>VLOOKUP($A106, 'Job Data'!$A$2:$P$220,15, FALSE)</f>
        <v>#N/A</v>
      </c>
      <c r="G106" s="16" t="e">
        <f t="shared" si="3"/>
        <v>#N/A</v>
      </c>
      <c r="H106" s="1"/>
    </row>
    <row r="107" spans="1:8" ht="24.65" customHeight="1">
      <c r="A107" s="5"/>
      <c r="B107" s="5"/>
      <c r="C107" s="5" t="e">
        <f>VLOOKUP($A107, 'Job Data'!$A$2:$P$220,2, FALSE)</f>
        <v>#N/A</v>
      </c>
      <c r="D107" s="5" t="e">
        <f>VLOOKUP($A107, 'Job Data'!$A$2:$P$220,3, FALSE)</f>
        <v>#N/A</v>
      </c>
      <c r="E107" s="5" t="e">
        <f>VLOOKUP($A107, 'Job Data'!$A$2:$P$220,14, FALSE)</f>
        <v>#N/A</v>
      </c>
      <c r="F107" s="1" t="e">
        <f>VLOOKUP($A107, 'Job Data'!$A$2:$P$220,15, FALSE)</f>
        <v>#N/A</v>
      </c>
      <c r="G107" s="16" t="e">
        <f t="shared" si="3"/>
        <v>#N/A</v>
      </c>
      <c r="H107" s="1"/>
    </row>
    <row r="108" spans="1:8" ht="24.65" customHeight="1">
      <c r="A108" s="5"/>
      <c r="B108" s="5"/>
      <c r="C108" s="5" t="e">
        <f>VLOOKUP($A108, 'Job Data'!$A$2:$P$220,2, FALSE)</f>
        <v>#N/A</v>
      </c>
      <c r="D108" s="5" t="e">
        <f>VLOOKUP($A108, 'Job Data'!$A$2:$P$220,3, FALSE)</f>
        <v>#N/A</v>
      </c>
      <c r="E108" s="5" t="e">
        <f>VLOOKUP($A108, 'Job Data'!$A$2:$P$220,14, FALSE)</f>
        <v>#N/A</v>
      </c>
      <c r="F108" s="1" t="e">
        <f>VLOOKUP($A108, 'Job Data'!$A$2:$P$220,15, FALSE)</f>
        <v>#N/A</v>
      </c>
      <c r="G108" s="16" t="e">
        <f t="shared" si="3"/>
        <v>#N/A</v>
      </c>
      <c r="H108" s="1"/>
    </row>
    <row r="109" spans="1:8" ht="24.65" customHeight="1">
      <c r="A109" s="5"/>
      <c r="B109" s="5"/>
      <c r="C109" s="5" t="e">
        <f>VLOOKUP($A109, 'Job Data'!$A$2:$P$220,2, FALSE)</f>
        <v>#N/A</v>
      </c>
      <c r="D109" s="5" t="e">
        <f>VLOOKUP($A109, 'Job Data'!$A$2:$P$220,3, FALSE)</f>
        <v>#N/A</v>
      </c>
      <c r="E109" s="5" t="e">
        <f>VLOOKUP($A109, 'Job Data'!$A$2:$P$220,14, FALSE)</f>
        <v>#N/A</v>
      </c>
      <c r="F109" s="1" t="e">
        <f>VLOOKUP($A109, 'Job Data'!$A$2:$P$220,15, FALSE)</f>
        <v>#N/A</v>
      </c>
      <c r="G109" s="16" t="e">
        <f t="shared" si="3"/>
        <v>#N/A</v>
      </c>
      <c r="H109" s="1"/>
    </row>
    <row r="110" spans="1:8" ht="24.65" customHeight="1">
      <c r="A110" s="5"/>
      <c r="B110" s="5"/>
      <c r="C110" s="5" t="e">
        <f>VLOOKUP($A110, 'Job Data'!$A$2:$P$220,2, FALSE)</f>
        <v>#N/A</v>
      </c>
      <c r="D110" s="5" t="e">
        <f>VLOOKUP($A110, 'Job Data'!$A$2:$P$220,3, FALSE)</f>
        <v>#N/A</v>
      </c>
      <c r="E110" s="5" t="e">
        <f>VLOOKUP($A110, 'Job Data'!$A$2:$P$220,14, FALSE)</f>
        <v>#N/A</v>
      </c>
      <c r="F110" s="1" t="e">
        <f>VLOOKUP($A110, 'Job Data'!$A$2:$P$220,15, FALSE)</f>
        <v>#N/A</v>
      </c>
      <c r="G110" s="16" t="e">
        <f t="shared" si="3"/>
        <v>#N/A</v>
      </c>
      <c r="H110" s="1"/>
    </row>
    <row r="111" spans="1:8" ht="24.65" customHeight="1">
      <c r="A111" s="5"/>
      <c r="B111" s="5"/>
      <c r="C111" s="5" t="e">
        <f>VLOOKUP($A111, 'Job Data'!$A$2:$P$220,2, FALSE)</f>
        <v>#N/A</v>
      </c>
      <c r="D111" s="5" t="e">
        <f>VLOOKUP($A111, 'Job Data'!$A$2:$P$220,3, FALSE)</f>
        <v>#N/A</v>
      </c>
      <c r="E111" s="5" t="e">
        <f>VLOOKUP($A111, 'Job Data'!$A$2:$P$220,14, FALSE)</f>
        <v>#N/A</v>
      </c>
      <c r="F111" s="1" t="e">
        <f>VLOOKUP($A111, 'Job Data'!$A$2:$P$220,15, FALSE)</f>
        <v>#N/A</v>
      </c>
      <c r="G111" s="16" t="e">
        <f t="shared" si="3"/>
        <v>#N/A</v>
      </c>
      <c r="H111" s="1"/>
    </row>
    <row r="112" spans="1:8" ht="24.65" customHeight="1">
      <c r="A112" s="5"/>
      <c r="B112" s="5"/>
      <c r="C112" s="5" t="e">
        <f>VLOOKUP($A112, 'Job Data'!$A$2:$P$220,2, FALSE)</f>
        <v>#N/A</v>
      </c>
      <c r="D112" s="5" t="e">
        <f>VLOOKUP($A112, 'Job Data'!$A$2:$P$220,3, FALSE)</f>
        <v>#N/A</v>
      </c>
      <c r="E112" s="5" t="e">
        <f>VLOOKUP($A112, 'Job Data'!$A$2:$P$220,14, FALSE)</f>
        <v>#N/A</v>
      </c>
      <c r="F112" s="1" t="e">
        <f>VLOOKUP($A112, 'Job Data'!$A$2:$P$220,15, FALSE)</f>
        <v>#N/A</v>
      </c>
      <c r="G112" s="16" t="e">
        <f t="shared" si="3"/>
        <v>#N/A</v>
      </c>
      <c r="H112" s="1"/>
    </row>
    <row r="113" spans="1:8" ht="24.65" customHeight="1">
      <c r="A113" s="5"/>
      <c r="B113" s="5"/>
      <c r="C113" s="5" t="e">
        <f>VLOOKUP($A113, 'Job Data'!$A$2:$P$220,2, FALSE)</f>
        <v>#N/A</v>
      </c>
      <c r="D113" s="5" t="e">
        <f>VLOOKUP($A113, 'Job Data'!$A$2:$P$220,3, FALSE)</f>
        <v>#N/A</v>
      </c>
      <c r="E113" s="5" t="e">
        <f>VLOOKUP($A113, 'Job Data'!$A$2:$P$220,14, FALSE)</f>
        <v>#N/A</v>
      </c>
      <c r="F113" s="1" t="e">
        <f>VLOOKUP($A113, 'Job Data'!$A$2:$P$220,15, FALSE)</f>
        <v>#N/A</v>
      </c>
      <c r="G113" s="16" t="e">
        <f t="shared" si="3"/>
        <v>#N/A</v>
      </c>
      <c r="H113" s="1"/>
    </row>
    <row r="114" spans="1:8" ht="24.65" customHeight="1">
      <c r="A114" s="5"/>
      <c r="B114" s="5"/>
      <c r="C114" s="5" t="e">
        <f>VLOOKUP($A114, 'Job Data'!$A$2:$P$220,2, FALSE)</f>
        <v>#N/A</v>
      </c>
      <c r="D114" s="5" t="e">
        <f>VLOOKUP($A114, 'Job Data'!$A$2:$P$220,3, FALSE)</f>
        <v>#N/A</v>
      </c>
      <c r="E114" s="5" t="e">
        <f>VLOOKUP($A114, 'Job Data'!$A$2:$P$220,14, FALSE)</f>
        <v>#N/A</v>
      </c>
      <c r="F114" s="1" t="e">
        <f>VLOOKUP($A114, 'Job Data'!$A$2:$P$220,15, FALSE)</f>
        <v>#N/A</v>
      </c>
      <c r="G114" s="16" t="e">
        <f t="shared" si="3"/>
        <v>#N/A</v>
      </c>
      <c r="H114" s="1"/>
    </row>
    <row r="115" spans="1:8" ht="24.65" customHeight="1">
      <c r="A115" s="5"/>
      <c r="B115" s="5"/>
      <c r="C115" s="5" t="e">
        <f>VLOOKUP($A115, 'Job Data'!$A$2:$P$220,2, FALSE)</f>
        <v>#N/A</v>
      </c>
      <c r="D115" s="5" t="e">
        <f>VLOOKUP($A115, 'Job Data'!$A$2:$P$220,3, FALSE)</f>
        <v>#N/A</v>
      </c>
      <c r="E115" s="5" t="e">
        <f>VLOOKUP($A115, 'Job Data'!$A$2:$P$220,14, FALSE)</f>
        <v>#N/A</v>
      </c>
      <c r="F115" s="1" t="e">
        <f>VLOOKUP($A115, 'Job Data'!$A$2:$P$220,15, FALSE)</f>
        <v>#N/A</v>
      </c>
      <c r="G115" s="16" t="e">
        <f t="shared" si="3"/>
        <v>#N/A</v>
      </c>
      <c r="H115" s="1"/>
    </row>
    <row r="116" spans="1:8" ht="24.65" customHeight="1">
      <c r="A116" s="5"/>
      <c r="B116" s="5"/>
      <c r="C116" s="5" t="e">
        <f>VLOOKUP($A116, 'Job Data'!$A$2:$P$220,2, FALSE)</f>
        <v>#N/A</v>
      </c>
      <c r="D116" s="5" t="e">
        <f>VLOOKUP($A116, 'Job Data'!$A$2:$P$220,3, FALSE)</f>
        <v>#N/A</v>
      </c>
      <c r="E116" s="5" t="e">
        <f>VLOOKUP($A116, 'Job Data'!$A$2:$P$220,14, FALSE)</f>
        <v>#N/A</v>
      </c>
      <c r="F116" s="1" t="e">
        <f>VLOOKUP($A116, 'Job Data'!$A$2:$P$220,15, FALSE)</f>
        <v>#N/A</v>
      </c>
      <c r="G116" s="16" t="e">
        <f t="shared" si="3"/>
        <v>#N/A</v>
      </c>
      <c r="H116" s="1"/>
    </row>
    <row r="117" spans="1:8" ht="24.65" customHeight="1">
      <c r="A117" s="5"/>
      <c r="B117" s="5"/>
      <c r="C117" s="5" t="e">
        <f>VLOOKUP($A117, 'Job Data'!$A$2:$P$220,2, FALSE)</f>
        <v>#N/A</v>
      </c>
      <c r="D117" s="5" t="e">
        <f>VLOOKUP($A117, 'Job Data'!$A$2:$P$220,3, FALSE)</f>
        <v>#N/A</v>
      </c>
      <c r="E117" s="5" t="e">
        <f>VLOOKUP($A117, 'Job Data'!$A$2:$P$220,14, FALSE)</f>
        <v>#N/A</v>
      </c>
      <c r="F117" s="1" t="e">
        <f>VLOOKUP($A117, 'Job Data'!$A$2:$P$220,15, FALSE)</f>
        <v>#N/A</v>
      </c>
      <c r="G117" s="16" t="e">
        <f t="shared" si="3"/>
        <v>#N/A</v>
      </c>
      <c r="H117" s="1"/>
    </row>
    <row r="118" spans="1:8" ht="24.65" customHeight="1">
      <c r="A118" s="5"/>
      <c r="B118" s="5"/>
      <c r="C118" s="5" t="e">
        <f>VLOOKUP($A118, 'Job Data'!$A$2:$P$220,2, FALSE)</f>
        <v>#N/A</v>
      </c>
      <c r="D118" s="5" t="e">
        <f>VLOOKUP($A118, 'Job Data'!$A$2:$P$220,3, FALSE)</f>
        <v>#N/A</v>
      </c>
      <c r="E118" s="5" t="e">
        <f>VLOOKUP($A118, 'Job Data'!$A$2:$P$220,14, FALSE)</f>
        <v>#N/A</v>
      </c>
      <c r="F118" s="1" t="e">
        <f>VLOOKUP($A118, 'Job Data'!$A$2:$P$220,15, FALSE)</f>
        <v>#N/A</v>
      </c>
      <c r="G118" s="16" t="e">
        <f t="shared" si="3"/>
        <v>#N/A</v>
      </c>
      <c r="H118" s="1"/>
    </row>
    <row r="119" spans="1:8" ht="24.65" customHeight="1">
      <c r="A119" s="5"/>
      <c r="B119" s="5"/>
      <c r="C119" s="5" t="e">
        <f>VLOOKUP($A119, 'Job Data'!$A$2:$P$220,2, FALSE)</f>
        <v>#N/A</v>
      </c>
      <c r="D119" s="5" t="e">
        <f>VLOOKUP($A119, 'Job Data'!$A$2:$P$220,3, FALSE)</f>
        <v>#N/A</v>
      </c>
      <c r="E119" s="5" t="e">
        <f>VLOOKUP($A119, 'Job Data'!$A$2:$P$220,14, FALSE)</f>
        <v>#N/A</v>
      </c>
      <c r="F119" s="1" t="e">
        <f>VLOOKUP($A119, 'Job Data'!$A$2:$P$220,15, FALSE)</f>
        <v>#N/A</v>
      </c>
      <c r="G119" s="16" t="e">
        <f t="shared" si="3"/>
        <v>#N/A</v>
      </c>
      <c r="H119" s="1"/>
    </row>
    <row r="120" spans="1:8" ht="24.65" customHeight="1">
      <c r="A120" s="5"/>
      <c r="B120" s="5"/>
      <c r="C120" s="5" t="e">
        <f>VLOOKUP($A120, 'Job Data'!$A$2:$P$220,2, FALSE)</f>
        <v>#N/A</v>
      </c>
      <c r="D120" s="5" t="e">
        <f>VLOOKUP($A120, 'Job Data'!$A$2:$P$220,3, FALSE)</f>
        <v>#N/A</v>
      </c>
      <c r="E120" s="5" t="e">
        <f>VLOOKUP($A120, 'Job Data'!$A$2:$P$220,14, FALSE)</f>
        <v>#N/A</v>
      </c>
      <c r="F120" s="1" t="e">
        <f>VLOOKUP($A120, 'Job Data'!$A$2:$P$220,15, FALSE)</f>
        <v>#N/A</v>
      </c>
      <c r="G120" s="16" t="e">
        <f t="shared" si="3"/>
        <v>#N/A</v>
      </c>
      <c r="H120" s="1"/>
    </row>
    <row r="121" spans="1:8" ht="24.65" customHeight="1">
      <c r="A121" s="5"/>
      <c r="B121" s="5"/>
      <c r="C121" s="5" t="e">
        <f>VLOOKUP($A121, 'Job Data'!$A$2:$P$220,2, FALSE)</f>
        <v>#N/A</v>
      </c>
      <c r="D121" s="5" t="e">
        <f>VLOOKUP($A121, 'Job Data'!$A$2:$P$220,3, FALSE)</f>
        <v>#N/A</v>
      </c>
      <c r="E121" s="5" t="e">
        <f>VLOOKUP($A121, 'Job Data'!$A$2:$P$220,14, FALSE)</f>
        <v>#N/A</v>
      </c>
      <c r="F121" s="1" t="e">
        <f>VLOOKUP($A121, 'Job Data'!$A$2:$P$220,15, FALSE)</f>
        <v>#N/A</v>
      </c>
      <c r="G121" s="16" t="e">
        <f t="shared" si="3"/>
        <v>#N/A</v>
      </c>
      <c r="H121" s="1"/>
    </row>
    <row r="122" spans="1:8" ht="24.65" customHeight="1">
      <c r="A122" s="5"/>
      <c r="B122" s="5"/>
      <c r="C122" s="5" t="e">
        <f>VLOOKUP($A122, 'Job Data'!$A$2:$P$220,2, FALSE)</f>
        <v>#N/A</v>
      </c>
      <c r="D122" s="5" t="e">
        <f>VLOOKUP($A122, 'Job Data'!$A$2:$P$220,3, FALSE)</f>
        <v>#N/A</v>
      </c>
      <c r="E122" s="5" t="e">
        <f>VLOOKUP($A122, 'Job Data'!$A$2:$P$220,14, FALSE)</f>
        <v>#N/A</v>
      </c>
      <c r="F122" s="1" t="e">
        <f>VLOOKUP($A122, 'Job Data'!$A$2:$P$220,15, FALSE)</f>
        <v>#N/A</v>
      </c>
      <c r="G122" s="16" t="e">
        <f t="shared" si="3"/>
        <v>#N/A</v>
      </c>
      <c r="H122" s="1"/>
    </row>
    <row r="123" spans="1:8" ht="24.65" customHeight="1">
      <c r="A123" s="5"/>
      <c r="B123" s="5"/>
      <c r="C123" s="5" t="e">
        <f>VLOOKUP($A123, 'Job Data'!$A$2:$P$220,2, FALSE)</f>
        <v>#N/A</v>
      </c>
      <c r="D123" s="5" t="e">
        <f>VLOOKUP($A123, 'Job Data'!$A$2:$P$220,3, FALSE)</f>
        <v>#N/A</v>
      </c>
      <c r="E123" s="5" t="e">
        <f>VLOOKUP($A123, 'Job Data'!$A$2:$P$220,14, FALSE)</f>
        <v>#N/A</v>
      </c>
      <c r="F123" s="1" t="e">
        <f>VLOOKUP($A123, 'Job Data'!$A$2:$P$220,15, FALSE)</f>
        <v>#N/A</v>
      </c>
      <c r="G123" s="16" t="e">
        <f t="shared" si="3"/>
        <v>#N/A</v>
      </c>
      <c r="H123" s="1"/>
    </row>
    <row r="124" spans="1:8" ht="24.65" customHeight="1">
      <c r="A124" s="5"/>
      <c r="B124" s="5"/>
      <c r="C124" s="5" t="e">
        <f>VLOOKUP($A124, 'Job Data'!$A$2:$P$220,2, FALSE)</f>
        <v>#N/A</v>
      </c>
      <c r="D124" s="5" t="e">
        <f>VLOOKUP($A124, 'Job Data'!$A$2:$P$220,3, FALSE)</f>
        <v>#N/A</v>
      </c>
      <c r="E124" s="5" t="e">
        <f>VLOOKUP($A124, 'Job Data'!$A$2:$P$220,14, FALSE)</f>
        <v>#N/A</v>
      </c>
      <c r="F124" s="1" t="e">
        <f>VLOOKUP($A124, 'Job Data'!$A$2:$P$220,15, FALSE)</f>
        <v>#N/A</v>
      </c>
      <c r="G124" s="16" t="e">
        <f t="shared" si="3"/>
        <v>#N/A</v>
      </c>
      <c r="H124" s="1"/>
    </row>
    <row r="125" spans="1:8">
      <c r="A125" s="1"/>
      <c r="B125" s="1"/>
      <c r="C125" s="1"/>
      <c r="D125" s="1"/>
      <c r="E125" s="1"/>
      <c r="F125" s="1"/>
      <c r="G125" s="12"/>
      <c r="H125" s="1"/>
    </row>
    <row r="126" spans="1:8">
      <c r="A126" s="1"/>
      <c r="B126" s="1"/>
      <c r="C126" s="1"/>
      <c r="D126" s="1"/>
      <c r="E126" s="1"/>
      <c r="F126" s="1"/>
      <c r="G126" s="12"/>
      <c r="H126" s="1"/>
    </row>
    <row r="127" spans="1:8">
      <c r="A127" s="1"/>
      <c r="B127" s="1"/>
      <c r="C127" s="1"/>
      <c r="D127" s="1"/>
      <c r="E127" s="1"/>
      <c r="F127" s="1"/>
      <c r="G127" s="12"/>
      <c r="H127" s="1"/>
    </row>
    <row r="128" spans="1:8">
      <c r="A128" s="1"/>
      <c r="B128" s="1"/>
      <c r="C128" s="1"/>
      <c r="D128" s="1"/>
      <c r="E128" s="1"/>
      <c r="F128" s="1"/>
      <c r="G128" s="12"/>
      <c r="H128" s="1"/>
    </row>
    <row r="129" spans="1:8">
      <c r="A129" s="1"/>
      <c r="B129" s="1"/>
      <c r="C129" s="1"/>
      <c r="D129" s="1"/>
      <c r="E129" s="1"/>
      <c r="F129" s="1"/>
      <c r="G129" s="12"/>
      <c r="H129" s="1"/>
    </row>
    <row r="130" spans="1:8">
      <c r="A130" s="1"/>
      <c r="B130" s="1"/>
      <c r="C130" s="1"/>
      <c r="D130" s="1"/>
      <c r="E130" s="1"/>
      <c r="F130" s="1"/>
      <c r="G130" s="1"/>
      <c r="H130" s="1"/>
    </row>
    <row r="131" spans="1:8">
      <c r="A131" s="1"/>
      <c r="B131" s="1"/>
      <c r="C131" s="1"/>
      <c r="D131" s="1"/>
      <c r="E131" s="1"/>
      <c r="F131" s="1"/>
      <c r="G131" s="1"/>
      <c r="H131" s="1"/>
    </row>
    <row r="132" spans="1:8">
      <c r="A132" s="1"/>
      <c r="B132" s="1"/>
      <c r="C132" s="1"/>
      <c r="D132" s="1"/>
      <c r="E132" s="1"/>
      <c r="F132" s="1"/>
      <c r="G132" s="1"/>
      <c r="H132" s="1"/>
    </row>
    <row r="133" spans="1:8">
      <c r="A133" s="1"/>
      <c r="B133" s="1"/>
      <c r="C133" s="1"/>
      <c r="D133" s="1"/>
      <c r="E133" s="1"/>
      <c r="F133" s="1"/>
      <c r="G133" s="1"/>
      <c r="H133" s="1"/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6881E-90FD-4421-BB03-8A88E9BFD5A7}">
  <sheetPr codeName="Sheet3"/>
  <dimension ref="A1:CH59"/>
  <sheetViews>
    <sheetView topLeftCell="A18" zoomScale="80" zoomScaleNormal="80" workbookViewId="0">
      <selection activeCell="G31" sqref="G31"/>
    </sheetView>
  </sheetViews>
  <sheetFormatPr defaultRowHeight="14.5"/>
  <cols>
    <col min="1" max="1" width="24.453125" customWidth="1"/>
    <col min="2" max="2" width="19.453125" customWidth="1"/>
    <col min="3" max="52" width="16.453125" customWidth="1"/>
    <col min="53" max="57" width="16.453125" style="15" customWidth="1"/>
    <col min="58" max="58" width="16.453125" customWidth="1"/>
    <col min="65" max="65" width="21.453125" customWidth="1"/>
    <col min="66" max="66" width="15" bestFit="1" customWidth="1"/>
    <col min="69" max="69" width="19.453125" bestFit="1" customWidth="1"/>
    <col min="70" max="70" width="23.453125" bestFit="1" customWidth="1"/>
    <col min="71" max="72" width="23.453125" customWidth="1"/>
    <col min="73" max="73" width="21.453125" customWidth="1"/>
    <col min="74" max="74" width="19.1796875" customWidth="1"/>
    <col min="76" max="76" width="20.81640625" bestFit="1" customWidth="1"/>
    <col min="77" max="77" width="17.453125" customWidth="1"/>
    <col min="78" max="78" width="18.81640625" customWidth="1"/>
  </cols>
  <sheetData>
    <row r="1" spans="1:86">
      <c r="AA1" s="11"/>
    </row>
    <row r="2" spans="1:86" ht="55.5" customHeight="1">
      <c r="A2" s="3" t="s">
        <v>5</v>
      </c>
      <c r="B2" s="3" t="s">
        <v>226</v>
      </c>
      <c r="C2" s="11" t="s">
        <v>16</v>
      </c>
      <c r="D2" s="11" t="s">
        <v>63</v>
      </c>
      <c r="E2" s="11" t="s">
        <v>23</v>
      </c>
      <c r="F2" s="11" t="s">
        <v>68</v>
      </c>
      <c r="G2" s="11" t="s">
        <v>44</v>
      </c>
      <c r="H2" s="11" t="s">
        <v>158</v>
      </c>
      <c r="I2" s="11" t="s">
        <v>72</v>
      </c>
      <c r="J2" s="11" t="s">
        <v>38</v>
      </c>
      <c r="K2" s="11" t="s">
        <v>661</v>
      </c>
      <c r="L2" s="11" t="s">
        <v>115</v>
      </c>
      <c r="M2" s="11" t="s">
        <v>56</v>
      </c>
      <c r="N2" s="11" t="s">
        <v>98</v>
      </c>
      <c r="O2" s="11" t="s">
        <v>163</v>
      </c>
      <c r="P2" s="11" t="s">
        <v>50</v>
      </c>
      <c r="Q2" s="11" t="s">
        <v>94</v>
      </c>
      <c r="R2" s="11" t="s">
        <v>123</v>
      </c>
      <c r="S2" s="11" t="s">
        <v>861</v>
      </c>
      <c r="T2" s="11" t="s">
        <v>150</v>
      </c>
      <c r="U2" s="11" t="s">
        <v>144</v>
      </c>
      <c r="V2" s="11" t="s">
        <v>349</v>
      </c>
      <c r="W2" s="11" t="s">
        <v>178</v>
      </c>
      <c r="X2" s="11" t="s">
        <v>166</v>
      </c>
      <c r="Y2" s="11" t="s">
        <v>172</v>
      </c>
      <c r="Z2" s="11" t="s">
        <v>119</v>
      </c>
      <c r="AA2" s="11" t="s">
        <v>867</v>
      </c>
      <c r="AB2" s="11" t="s">
        <v>183</v>
      </c>
      <c r="AC2" s="11" t="s">
        <v>187</v>
      </c>
      <c r="AD2" s="11" t="s">
        <v>244</v>
      </c>
      <c r="AE2" s="11" t="s">
        <v>276</v>
      </c>
      <c r="AF2" s="11" t="s">
        <v>309</v>
      </c>
      <c r="AG2" s="11" t="s">
        <v>58</v>
      </c>
      <c r="AH2" s="11" t="s">
        <v>300</v>
      </c>
      <c r="AI2" s="11" t="s">
        <v>303</v>
      </c>
      <c r="AJ2" s="11" t="s">
        <v>322</v>
      </c>
      <c r="AK2" s="11" t="s">
        <v>334</v>
      </c>
      <c r="AL2" s="11" t="s">
        <v>353</v>
      </c>
      <c r="AM2" s="11" t="s">
        <v>365</v>
      </c>
      <c r="AN2" s="11" t="s">
        <v>369</v>
      </c>
      <c r="AO2" s="11" t="s">
        <v>370</v>
      </c>
      <c r="AP2" s="11" t="s">
        <v>376</v>
      </c>
      <c r="AQ2" s="11" t="s">
        <v>411</v>
      </c>
      <c r="AR2" s="11" t="s">
        <v>427</v>
      </c>
      <c r="AS2" s="11" t="s">
        <v>445</v>
      </c>
      <c r="AT2" s="11" t="s">
        <v>449</v>
      </c>
      <c r="AU2" s="11" t="s">
        <v>478</v>
      </c>
      <c r="AV2" s="11" t="s">
        <v>526</v>
      </c>
      <c r="AW2" s="11" t="s">
        <v>530</v>
      </c>
      <c r="AX2" s="11" t="s">
        <v>536</v>
      </c>
      <c r="AY2" s="11" t="s">
        <v>541</v>
      </c>
      <c r="AZ2" s="11" t="s">
        <v>550</v>
      </c>
      <c r="BA2" s="11" t="s">
        <v>560</v>
      </c>
      <c r="BB2" s="11" t="s">
        <v>562</v>
      </c>
      <c r="BC2" s="11" t="s">
        <v>564</v>
      </c>
      <c r="BD2" s="11" t="s">
        <v>566</v>
      </c>
      <c r="BE2" s="11" t="s">
        <v>597</v>
      </c>
      <c r="BF2" s="11" t="s">
        <v>604</v>
      </c>
      <c r="BG2" s="28" t="s">
        <v>613</v>
      </c>
      <c r="BH2" s="29" t="s">
        <v>620</v>
      </c>
      <c r="BI2" s="11" t="s">
        <v>631</v>
      </c>
      <c r="BJ2" s="1" t="s">
        <v>633</v>
      </c>
      <c r="BK2" s="1" t="s">
        <v>641</v>
      </c>
      <c r="BL2" s="1" t="s">
        <v>639</v>
      </c>
      <c r="BM2" s="12" t="s">
        <v>647</v>
      </c>
      <c r="BN2" s="1" t="s">
        <v>659</v>
      </c>
      <c r="BO2" s="1" t="s">
        <v>669</v>
      </c>
      <c r="BP2" s="1" t="s">
        <v>731</v>
      </c>
      <c r="BQ2" s="1" t="s">
        <v>734</v>
      </c>
      <c r="BR2" s="1" t="s">
        <v>742</v>
      </c>
      <c r="BS2" s="1" t="s">
        <v>759</v>
      </c>
      <c r="BT2" s="1" t="s">
        <v>817</v>
      </c>
      <c r="BU2" s="1" t="s">
        <v>763</v>
      </c>
      <c r="BV2" s="1" t="s">
        <v>768</v>
      </c>
      <c r="BW2" s="1" t="s">
        <v>770</v>
      </c>
      <c r="BX2" s="1" t="s">
        <v>784</v>
      </c>
      <c r="BY2" s="1" t="s">
        <v>786</v>
      </c>
      <c r="BZ2" s="1" t="s">
        <v>792</v>
      </c>
      <c r="CA2" s="1" t="s">
        <v>803</v>
      </c>
      <c r="CB2" s="1" t="s">
        <v>807</v>
      </c>
      <c r="CC2" t="s">
        <v>810</v>
      </c>
      <c r="CD2" s="1" t="s">
        <v>832</v>
      </c>
      <c r="CE2" s="1" t="s">
        <v>834</v>
      </c>
      <c r="CF2" s="1" t="s">
        <v>837</v>
      </c>
      <c r="CG2" s="1" t="s">
        <v>852</v>
      </c>
      <c r="CH2" t="s">
        <v>878</v>
      </c>
    </row>
    <row r="3" spans="1:86" ht="43.5">
      <c r="A3" s="1" t="s">
        <v>19</v>
      </c>
      <c r="B3" s="1"/>
      <c r="C3" s="12" t="s">
        <v>17</v>
      </c>
      <c r="D3" s="12" t="s">
        <v>64</v>
      </c>
      <c r="E3" s="12" t="s">
        <v>24</v>
      </c>
      <c r="F3" s="12" t="s">
        <v>155</v>
      </c>
      <c r="G3" s="12" t="s">
        <v>45</v>
      </c>
      <c r="H3" s="12" t="s">
        <v>161</v>
      </c>
      <c r="I3" s="12" t="s">
        <v>73</v>
      </c>
      <c r="J3" s="12" t="s">
        <v>39</v>
      </c>
      <c r="K3" s="12" t="s">
        <v>662</v>
      </c>
      <c r="L3" s="12" t="s">
        <v>116</v>
      </c>
      <c r="M3" s="12" t="s">
        <v>56</v>
      </c>
      <c r="N3" s="12" t="s">
        <v>99</v>
      </c>
      <c r="O3" s="12" t="s">
        <v>164</v>
      </c>
      <c r="P3" s="12" t="s">
        <v>51</v>
      </c>
      <c r="Q3" s="12" t="s">
        <v>95</v>
      </c>
      <c r="R3" s="12" t="s">
        <v>124</v>
      </c>
      <c r="S3" s="12" t="s">
        <v>862</v>
      </c>
      <c r="T3" s="12" t="s">
        <v>151</v>
      </c>
      <c r="U3" s="12" t="s">
        <v>145</v>
      </c>
      <c r="V3" s="12" t="s">
        <v>227</v>
      </c>
      <c r="W3" s="12" t="s">
        <v>179</v>
      </c>
      <c r="X3" s="12" t="s">
        <v>167</v>
      </c>
      <c r="Y3" s="12" t="s">
        <v>173</v>
      </c>
      <c r="Z3" s="12" t="s">
        <v>120</v>
      </c>
      <c r="AA3" s="12" t="s">
        <v>866</v>
      </c>
      <c r="AB3" s="31" t="s">
        <v>184</v>
      </c>
      <c r="AC3" s="12" t="s">
        <v>188</v>
      </c>
      <c r="AD3" s="12" t="s">
        <v>245</v>
      </c>
      <c r="AE3" s="12" t="s">
        <v>277</v>
      </c>
      <c r="AF3" s="12" t="s">
        <v>295</v>
      </c>
      <c r="AG3" s="12" t="s">
        <v>297</v>
      </c>
      <c r="AH3" s="12" t="s">
        <v>301</v>
      </c>
      <c r="AI3" s="12" t="s">
        <v>303</v>
      </c>
      <c r="AJ3" s="12" t="s">
        <v>321</v>
      </c>
      <c r="AK3" s="12" t="s">
        <v>335</v>
      </c>
      <c r="AL3" s="12" t="s">
        <v>353</v>
      </c>
      <c r="AM3" s="12" t="s">
        <v>366</v>
      </c>
      <c r="AN3" s="12" t="s">
        <v>369</v>
      </c>
      <c r="AO3" s="12" t="s">
        <v>371</v>
      </c>
      <c r="AP3" s="12" t="s">
        <v>377</v>
      </c>
      <c r="AQ3" s="12" t="s">
        <v>412</v>
      </c>
      <c r="AR3" s="12" t="s">
        <v>428</v>
      </c>
      <c r="AS3" s="12" t="s">
        <v>446</v>
      </c>
      <c r="AT3" s="12" t="s">
        <v>449</v>
      </c>
      <c r="AU3" s="12" t="s">
        <v>479</v>
      </c>
      <c r="AV3" s="12" t="s">
        <v>527</v>
      </c>
      <c r="AW3" s="12" t="s">
        <v>529</v>
      </c>
      <c r="AX3" s="12" t="s">
        <v>537</v>
      </c>
      <c r="AY3" s="12" t="s">
        <v>542</v>
      </c>
      <c r="AZ3" s="12" t="s">
        <v>551</v>
      </c>
      <c r="BA3" s="12" t="s">
        <v>561</v>
      </c>
      <c r="BB3" s="12" t="s">
        <v>563</v>
      </c>
      <c r="BC3" s="12" t="s">
        <v>565</v>
      </c>
      <c r="BD3" s="12" t="s">
        <v>567</v>
      </c>
      <c r="BE3" s="12" t="s">
        <v>598</v>
      </c>
      <c r="BF3" s="12" t="s">
        <v>605</v>
      </c>
      <c r="BG3" s="1" t="s">
        <v>618</v>
      </c>
      <c r="BH3" s="1" t="s">
        <v>621</v>
      </c>
      <c r="BI3" s="1" t="s">
        <v>630</v>
      </c>
      <c r="BJ3" s="1" t="s">
        <v>634</v>
      </c>
      <c r="BK3" s="1" t="s">
        <v>638</v>
      </c>
      <c r="BL3" s="1" t="s">
        <v>640</v>
      </c>
      <c r="BM3" s="12" t="s">
        <v>648</v>
      </c>
      <c r="BN3" s="1" t="s">
        <v>184</v>
      </c>
      <c r="BO3" s="1" t="s">
        <v>670</v>
      </c>
      <c r="BP3" s="1" t="s">
        <v>730</v>
      </c>
      <c r="BQ3" s="1" t="s">
        <v>733</v>
      </c>
      <c r="BR3" s="1" t="s">
        <v>743</v>
      </c>
      <c r="BS3" s="1" t="s">
        <v>758</v>
      </c>
      <c r="BT3" s="12" t="s">
        <v>816</v>
      </c>
      <c r="BU3" s="1" t="s">
        <v>764</v>
      </c>
      <c r="BV3" s="1" t="s">
        <v>769</v>
      </c>
      <c r="BW3" s="1" t="s">
        <v>771</v>
      </c>
      <c r="BX3" s="1" t="s">
        <v>783</v>
      </c>
      <c r="BY3" s="1" t="s">
        <v>787</v>
      </c>
      <c r="BZ3" s="1" t="s">
        <v>791</v>
      </c>
      <c r="CA3" s="1" t="s">
        <v>801</v>
      </c>
      <c r="CB3" t="s">
        <v>808</v>
      </c>
      <c r="CC3" t="s">
        <v>811</v>
      </c>
      <c r="CD3" s="1" t="s">
        <v>150</v>
      </c>
      <c r="CE3" t="s">
        <v>835</v>
      </c>
      <c r="CF3" t="s">
        <v>838</v>
      </c>
      <c r="CG3" t="s">
        <v>853</v>
      </c>
      <c r="CH3" t="s">
        <v>879</v>
      </c>
    </row>
    <row r="4" spans="1:86">
      <c r="A4" s="1" t="s">
        <v>41</v>
      </c>
      <c r="B4" s="1"/>
      <c r="C4" s="1" t="s">
        <v>87</v>
      </c>
      <c r="D4" s="1" t="s">
        <v>132</v>
      </c>
      <c r="E4" s="1" t="s">
        <v>32</v>
      </c>
      <c r="F4" s="1" t="s">
        <v>69</v>
      </c>
      <c r="G4" s="1"/>
      <c r="H4" s="1" t="s">
        <v>159</v>
      </c>
      <c r="I4" s="1"/>
      <c r="J4" s="1" t="s">
        <v>111</v>
      </c>
      <c r="K4" s="1"/>
      <c r="L4" s="1"/>
      <c r="M4" s="1"/>
      <c r="N4" s="1" t="s">
        <v>453</v>
      </c>
      <c r="O4" s="1"/>
      <c r="P4" s="1" t="s">
        <v>228</v>
      </c>
      <c r="Q4" s="1" t="s">
        <v>229</v>
      </c>
      <c r="R4" s="1"/>
      <c r="S4" s="1"/>
      <c r="T4" s="1" t="s">
        <v>230</v>
      </c>
      <c r="U4" s="1"/>
      <c r="V4" s="1"/>
      <c r="W4" s="1"/>
      <c r="X4" s="1"/>
      <c r="Y4" s="1" t="s">
        <v>176</v>
      </c>
      <c r="Z4" s="1"/>
      <c r="AA4" s="1"/>
      <c r="AB4" s="1" t="s">
        <v>286</v>
      </c>
      <c r="AC4" s="1"/>
      <c r="AD4" s="1" t="s">
        <v>246</v>
      </c>
      <c r="AE4" s="1"/>
      <c r="AF4" s="1"/>
      <c r="AG4" s="1" t="s">
        <v>298</v>
      </c>
      <c r="AH4" s="1" t="s">
        <v>302</v>
      </c>
      <c r="AI4" s="1"/>
      <c r="AJ4" s="1"/>
      <c r="AK4" s="1"/>
      <c r="AL4" s="1"/>
      <c r="AM4" s="1" t="s">
        <v>367</v>
      </c>
      <c r="AN4" s="1"/>
      <c r="AO4" s="1"/>
      <c r="AP4" s="1" t="s">
        <v>378</v>
      </c>
      <c r="AQ4" s="1"/>
      <c r="AR4" s="1" t="s">
        <v>429</v>
      </c>
      <c r="AS4" s="1"/>
      <c r="AT4" s="1"/>
      <c r="AU4" s="1"/>
      <c r="AV4" s="1"/>
      <c r="AW4" s="1"/>
      <c r="AX4" s="1"/>
      <c r="AY4" s="1"/>
      <c r="AZ4" s="1" t="s">
        <v>552</v>
      </c>
      <c r="BA4" s="12"/>
      <c r="BB4" s="12"/>
      <c r="BC4" s="12"/>
      <c r="BD4" s="12"/>
      <c r="BE4" s="12" t="s">
        <v>599</v>
      </c>
      <c r="BF4" s="1"/>
      <c r="BG4" s="1"/>
      <c r="BH4" s="1" t="s">
        <v>622</v>
      </c>
      <c r="BI4" s="1" t="s">
        <v>629</v>
      </c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 t="s">
        <v>802</v>
      </c>
      <c r="CE4" t="s">
        <v>836</v>
      </c>
      <c r="CF4" t="s">
        <v>839</v>
      </c>
    </row>
    <row r="5" spans="1:86" ht="43.5">
      <c r="A5" s="1" t="s">
        <v>156</v>
      </c>
      <c r="B5" s="1"/>
      <c r="C5" s="1"/>
      <c r="D5" s="1" t="s">
        <v>136</v>
      </c>
      <c r="E5" s="1" t="s">
        <v>36</v>
      </c>
      <c r="F5" s="1" t="s">
        <v>533</v>
      </c>
      <c r="G5" s="1"/>
      <c r="H5" s="1" t="s">
        <v>316</v>
      </c>
      <c r="I5" s="1"/>
      <c r="J5" s="1"/>
      <c r="K5" s="1"/>
      <c r="L5" s="1"/>
      <c r="M5" s="1"/>
      <c r="N5" s="1" t="s">
        <v>454</v>
      </c>
      <c r="O5" s="1"/>
      <c r="P5" s="1"/>
      <c r="Q5" s="12" t="s">
        <v>231</v>
      </c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 t="s">
        <v>299</v>
      </c>
      <c r="AH5" s="1"/>
      <c r="AI5" s="1"/>
      <c r="AJ5" s="1"/>
      <c r="AK5" s="1"/>
      <c r="AL5" s="1"/>
      <c r="AM5" s="1" t="s">
        <v>368</v>
      </c>
      <c r="AN5" s="1"/>
      <c r="AO5" s="1"/>
      <c r="AP5" s="1"/>
      <c r="AQ5" s="1"/>
      <c r="AR5" s="1" t="s">
        <v>430</v>
      </c>
      <c r="AS5" s="1"/>
      <c r="AT5" s="1"/>
      <c r="AU5" s="1"/>
      <c r="AV5" s="1"/>
      <c r="AW5" s="1"/>
      <c r="AX5" s="1"/>
      <c r="AY5" s="1"/>
      <c r="AZ5" s="1" t="s">
        <v>553</v>
      </c>
      <c r="BA5" s="12"/>
      <c r="BB5" s="12"/>
      <c r="BC5" s="12"/>
      <c r="BD5" s="12"/>
      <c r="BE5" s="12" t="s">
        <v>600</v>
      </c>
      <c r="BF5" s="1"/>
      <c r="BG5" s="1"/>
      <c r="BH5" s="1" t="s">
        <v>623</v>
      </c>
      <c r="BI5" s="1" t="s">
        <v>655</v>
      </c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F5" t="s">
        <v>840</v>
      </c>
    </row>
    <row r="6" spans="1:86">
      <c r="A6" s="1" t="s">
        <v>138</v>
      </c>
      <c r="B6" s="1"/>
      <c r="C6" s="1"/>
      <c r="D6" s="1" t="s">
        <v>141</v>
      </c>
      <c r="E6" s="1" t="s">
        <v>133</v>
      </c>
      <c r="F6" s="1" t="s">
        <v>150</v>
      </c>
      <c r="G6" s="1"/>
      <c r="H6" s="1" t="s">
        <v>364</v>
      </c>
      <c r="I6" s="1"/>
      <c r="J6" s="1"/>
      <c r="K6" s="1"/>
      <c r="L6" s="1"/>
      <c r="M6" s="1"/>
      <c r="N6" s="1" t="s">
        <v>779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 t="s">
        <v>554</v>
      </c>
      <c r="BA6" s="12"/>
      <c r="BB6" s="12"/>
      <c r="BC6" s="12"/>
      <c r="BD6" s="12"/>
      <c r="BE6" s="12"/>
      <c r="BF6" s="1"/>
      <c r="BG6" s="1"/>
      <c r="BH6" s="1" t="s">
        <v>624</v>
      </c>
      <c r="BI6" s="1" t="s">
        <v>656</v>
      </c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</row>
    <row r="7" spans="1:86">
      <c r="A7" s="1" t="s">
        <v>26</v>
      </c>
      <c r="B7" s="1"/>
      <c r="C7" s="1"/>
      <c r="D7" s="1" t="s">
        <v>440</v>
      </c>
      <c r="E7" s="1"/>
      <c r="F7" s="1"/>
      <c r="G7" s="1"/>
      <c r="H7" s="1" t="s">
        <v>506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2"/>
      <c r="BB7" s="12"/>
      <c r="BC7" s="12"/>
      <c r="BD7" s="12"/>
      <c r="BE7" s="12"/>
      <c r="BF7" s="1"/>
      <c r="BG7" s="1"/>
      <c r="BH7" s="1" t="s">
        <v>625</v>
      </c>
      <c r="BI7" s="1" t="s">
        <v>657</v>
      </c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</row>
    <row r="8" spans="1:86">
      <c r="A8" s="1"/>
      <c r="B8" s="1"/>
      <c r="C8" s="1"/>
      <c r="D8" s="1" t="s">
        <v>461</v>
      </c>
      <c r="E8" s="1"/>
      <c r="F8" s="1"/>
      <c r="G8" s="1"/>
      <c r="H8" s="1" t="s">
        <v>507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2"/>
      <c r="BB8" s="12"/>
      <c r="BC8" s="12"/>
      <c r="BD8" s="12"/>
      <c r="BE8" s="12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</row>
    <row r="9" spans="1:86">
      <c r="A9" s="1"/>
      <c r="B9" s="1"/>
      <c r="C9" s="1"/>
      <c r="D9" s="1" t="s">
        <v>487</v>
      </c>
      <c r="E9" s="1"/>
      <c r="F9" s="1"/>
      <c r="G9" s="1"/>
      <c r="H9" s="1" t="s">
        <v>508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2"/>
      <c r="BB9" s="12"/>
      <c r="BC9" s="12"/>
      <c r="BD9" s="12"/>
      <c r="BE9" s="12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</row>
    <row r="10" spans="1:86">
      <c r="A10" s="1"/>
      <c r="B10" s="1"/>
      <c r="C10" s="1"/>
      <c r="D10" s="1" t="s">
        <v>653</v>
      </c>
      <c r="E10" s="1"/>
      <c r="F10" s="1"/>
      <c r="G10" s="1"/>
      <c r="H10" s="1" t="s">
        <v>509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2"/>
      <c r="BB10" s="12"/>
      <c r="BC10" s="12"/>
      <c r="BD10" s="12"/>
      <c r="BE10" s="12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</row>
    <row r="11" spans="1:86">
      <c r="A11" s="1"/>
      <c r="B11" s="1"/>
      <c r="C11" s="1"/>
      <c r="D11" s="1" t="s">
        <v>677</v>
      </c>
      <c r="E11" s="1"/>
      <c r="F11" s="1"/>
      <c r="G11" s="1"/>
      <c r="H11" s="1" t="s">
        <v>510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2"/>
      <c r="BB11" s="12"/>
      <c r="BC11" s="12"/>
      <c r="BD11" s="12"/>
      <c r="BE11" s="12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</row>
    <row r="12" spans="1:86">
      <c r="A12" s="1"/>
      <c r="B12" s="1"/>
      <c r="C12" s="1"/>
      <c r="D12" s="1"/>
      <c r="E12" s="1"/>
      <c r="F12" s="1"/>
      <c r="G12" s="1"/>
      <c r="H12" s="1" t="s">
        <v>511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2"/>
      <c r="BB12" s="12"/>
      <c r="BC12" s="12"/>
      <c r="BD12" s="12"/>
      <c r="BE12" s="12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</row>
    <row r="13" spans="1:86">
      <c r="A13" s="1"/>
      <c r="B13" s="1"/>
      <c r="C13" s="1"/>
      <c r="D13" s="1"/>
      <c r="E13" s="1"/>
      <c r="F13" s="1"/>
      <c r="G13" s="1"/>
      <c r="H13" s="1" t="s">
        <v>512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2"/>
      <c r="BB13" s="12"/>
      <c r="BC13" s="12"/>
      <c r="BD13" s="12"/>
      <c r="BE13" s="12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</row>
    <row r="14" spans="1:86">
      <c r="A14" s="1"/>
      <c r="B14" s="1"/>
      <c r="C14" s="1"/>
      <c r="D14" s="1"/>
      <c r="E14" s="1"/>
      <c r="F14" s="1"/>
      <c r="G14" s="1"/>
      <c r="H14" s="1" t="s">
        <v>513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2"/>
      <c r="BB14" s="12"/>
      <c r="BC14" s="12"/>
      <c r="BD14" s="12"/>
      <c r="BE14" s="12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</row>
    <row r="15" spans="1:86">
      <c r="A15" s="1"/>
      <c r="B15" s="1"/>
      <c r="C15" s="1"/>
      <c r="D15" s="1"/>
      <c r="E15" s="1"/>
      <c r="F15" s="1"/>
      <c r="G15" s="1"/>
      <c r="H15" s="1" t="s">
        <v>514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2"/>
      <c r="BB15" s="12"/>
      <c r="BC15" s="12"/>
      <c r="BD15" s="12"/>
      <c r="BE15" s="12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</row>
    <row r="16" spans="1:86">
      <c r="A16" s="1"/>
      <c r="B16" s="1"/>
      <c r="C16" s="1"/>
      <c r="D16" s="1"/>
      <c r="E16" s="1"/>
      <c r="F16" s="1"/>
      <c r="G16" s="1"/>
      <c r="H16" s="1" t="s">
        <v>515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2"/>
      <c r="BB16" s="12"/>
      <c r="BC16" s="12"/>
      <c r="BD16" s="12"/>
      <c r="BE16" s="12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</row>
    <row r="17" spans="1:79">
      <c r="A17" s="1"/>
      <c r="B17" s="1"/>
      <c r="C17" s="1"/>
      <c r="D17" s="1"/>
      <c r="E17" s="1"/>
      <c r="F17" s="1"/>
      <c r="G17" s="1"/>
      <c r="H17" s="1" t="s">
        <v>516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2"/>
      <c r="BB17" s="12"/>
      <c r="BC17" s="12"/>
      <c r="BD17" s="12"/>
      <c r="BE17" s="12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</row>
    <row r="18" spans="1:79">
      <c r="A18" s="1"/>
      <c r="B18" s="1"/>
      <c r="C18" s="1"/>
      <c r="D18" s="1"/>
      <c r="E18" s="1"/>
      <c r="F18" s="1"/>
      <c r="G18" s="1"/>
      <c r="H18" s="1" t="s">
        <v>517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2"/>
      <c r="BB18" s="12"/>
      <c r="BC18" s="12"/>
      <c r="BD18" s="12"/>
      <c r="BE18" s="12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</row>
    <row r="19" spans="1:79">
      <c r="H19" s="1" t="s">
        <v>518</v>
      </c>
    </row>
    <row r="20" spans="1:79">
      <c r="H20" s="1" t="s">
        <v>519</v>
      </c>
    </row>
    <row r="21" spans="1:79">
      <c r="H21" s="1" t="s">
        <v>520</v>
      </c>
    </row>
    <row r="26" spans="1:79"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2"/>
      <c r="BB26" s="12"/>
      <c r="BC26" s="12"/>
      <c r="BD26" s="12"/>
      <c r="BE26" s="12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</row>
    <row r="27" spans="1:79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2"/>
      <c r="BB27" s="12"/>
      <c r="BC27" s="12"/>
      <c r="BD27" s="12"/>
      <c r="BE27" s="12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</row>
    <row r="28" spans="1:79"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2"/>
      <c r="BB28" s="12"/>
      <c r="BC28" s="12"/>
      <c r="BD28" s="12"/>
      <c r="BE28" s="12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</row>
    <row r="29" spans="1:79"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2"/>
      <c r="BB29" s="12"/>
      <c r="BC29" s="12"/>
      <c r="BD29" s="12"/>
      <c r="BE29" s="12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</row>
    <row r="30" spans="1:79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2"/>
      <c r="BB30" s="12"/>
      <c r="BC30" s="12"/>
      <c r="BD30" s="12"/>
      <c r="BE30" s="12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</row>
    <row r="31" spans="1:79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2"/>
      <c r="BB31" s="12"/>
      <c r="BC31" s="12"/>
      <c r="BD31" s="12"/>
      <c r="BE31" s="12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</row>
    <row r="32" spans="1:79" ht="37">
      <c r="A32" s="3" t="s">
        <v>8</v>
      </c>
      <c r="B32" s="3" t="s">
        <v>6</v>
      </c>
      <c r="C32" s="4" t="s">
        <v>232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2"/>
      <c r="BB32" s="12"/>
      <c r="BC32" s="12"/>
      <c r="BD32" s="12"/>
      <c r="BE32" s="12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</row>
    <row r="33" spans="1:79">
      <c r="A33" s="1" t="s">
        <v>233</v>
      </c>
      <c r="B33" s="1" t="s">
        <v>53</v>
      </c>
      <c r="C33" s="1" t="s">
        <v>54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2"/>
      <c r="BB33" s="12"/>
      <c r="BC33" s="12"/>
      <c r="BD33" s="12"/>
      <c r="BE33" s="12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</row>
    <row r="34" spans="1:79">
      <c r="A34" s="1" t="s">
        <v>234</v>
      </c>
      <c r="B34" s="1" t="s">
        <v>47</v>
      </c>
      <c r="C34" s="1" t="s">
        <v>58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2"/>
      <c r="BB34" s="12"/>
      <c r="BC34" s="12"/>
      <c r="BD34" s="12"/>
      <c r="BE34" s="12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</row>
    <row r="35" spans="1:79">
      <c r="A35" s="1" t="s">
        <v>235</v>
      </c>
      <c r="B35" s="1" t="s">
        <v>20</v>
      </c>
      <c r="C35" s="1" t="s">
        <v>61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2"/>
      <c r="BB35" s="12"/>
      <c r="BC35" s="12"/>
      <c r="BD35" s="12"/>
      <c r="BE35" s="12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</row>
    <row r="36" spans="1:79">
      <c r="A36" s="1" t="s">
        <v>21</v>
      </c>
      <c r="B36" s="1" t="s">
        <v>96</v>
      </c>
      <c r="C36" s="1" t="s">
        <v>765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2"/>
      <c r="BB36" s="12"/>
      <c r="BC36" s="12"/>
      <c r="BD36" s="12"/>
      <c r="BE36" s="12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</row>
    <row r="37" spans="1:79">
      <c r="A37" s="1" t="s">
        <v>27</v>
      </c>
      <c r="B37" s="1" t="s">
        <v>133</v>
      </c>
      <c r="C37" s="1" t="s">
        <v>788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2"/>
      <c r="BB37" s="12"/>
      <c r="BC37" s="12"/>
      <c r="BD37" s="12"/>
      <c r="BE37" s="12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</row>
    <row r="38" spans="1:79">
      <c r="A38" s="1" t="s">
        <v>285</v>
      </c>
      <c r="B38" s="1" t="s">
        <v>236</v>
      </c>
      <c r="C38" s="1" t="s">
        <v>75</v>
      </c>
    </row>
    <row r="39" spans="1:79">
      <c r="A39" s="1" t="s">
        <v>288</v>
      </c>
      <c r="B39" s="1" t="s">
        <v>278</v>
      </c>
      <c r="C39" s="1" t="s">
        <v>78</v>
      </c>
    </row>
    <row r="40" spans="1:79">
      <c r="A40" s="1" t="s">
        <v>181</v>
      </c>
      <c r="B40" s="1" t="s">
        <v>296</v>
      </c>
      <c r="C40" s="1" t="s">
        <v>83</v>
      </c>
    </row>
    <row r="41" spans="1:79">
      <c r="A41" s="1"/>
      <c r="B41" s="1" t="s">
        <v>323</v>
      </c>
      <c r="C41" s="1" t="s">
        <v>846</v>
      </c>
    </row>
    <row r="42" spans="1:79">
      <c r="A42" s="1"/>
      <c r="B42" s="1" t="s">
        <v>355</v>
      </c>
      <c r="C42" s="1" t="s">
        <v>42</v>
      </c>
    </row>
    <row r="43" spans="1:79">
      <c r="A43" s="1"/>
      <c r="B43" s="1" t="s">
        <v>358</v>
      </c>
      <c r="C43" s="1" t="s">
        <v>48</v>
      </c>
    </row>
    <row r="44" spans="1:79">
      <c r="B44" t="s">
        <v>495</v>
      </c>
      <c r="C44" s="1" t="s">
        <v>237</v>
      </c>
    </row>
    <row r="45" spans="1:79">
      <c r="B45" s="1" t="s">
        <v>538</v>
      </c>
      <c r="C45" s="1" t="s">
        <v>258</v>
      </c>
    </row>
    <row r="46" spans="1:79">
      <c r="B46" t="s">
        <v>568</v>
      </c>
      <c r="C46" s="1" t="s">
        <v>274</v>
      </c>
    </row>
    <row r="47" spans="1:79">
      <c r="B47" s="1" t="s">
        <v>605</v>
      </c>
      <c r="C47" s="1" t="s">
        <v>821</v>
      </c>
    </row>
    <row r="48" spans="1:79">
      <c r="B48" t="s">
        <v>626</v>
      </c>
      <c r="C48" s="1" t="s">
        <v>403</v>
      </c>
    </row>
    <row r="49" spans="2:3">
      <c r="B49" t="s">
        <v>643</v>
      </c>
      <c r="C49" s="1" t="s">
        <v>499</v>
      </c>
    </row>
    <row r="50" spans="2:3">
      <c r="B50" t="s">
        <v>880</v>
      </c>
      <c r="C50" s="1" t="s">
        <v>521</v>
      </c>
    </row>
    <row r="51" spans="2:3">
      <c r="C51" s="1" t="s">
        <v>524</v>
      </c>
    </row>
    <row r="52" spans="2:3">
      <c r="C52" s="1" t="s">
        <v>68</v>
      </c>
    </row>
    <row r="53" spans="2:3">
      <c r="C53" s="1" t="s">
        <v>543</v>
      </c>
    </row>
    <row r="54" spans="2:3">
      <c r="C54" s="1" t="s">
        <v>649</v>
      </c>
    </row>
    <row r="55" spans="2:3">
      <c r="C55" s="1" t="s">
        <v>664</v>
      </c>
    </row>
    <row r="56" spans="2:3">
      <c r="C56" s="1" t="s">
        <v>668</v>
      </c>
    </row>
    <row r="57" spans="2:3">
      <c r="C57" s="1" t="s">
        <v>736</v>
      </c>
    </row>
    <row r="58" spans="2:3">
      <c r="C58" s="1" t="s">
        <v>806</v>
      </c>
    </row>
    <row r="59" spans="2:3">
      <c r="C59" s="1" t="s">
        <v>812</v>
      </c>
    </row>
  </sheetData>
  <phoneticPr fontId="5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C90B808E71D14781F9689AE34A99A0" ma:contentTypeVersion="16" ma:contentTypeDescription="Create a new document." ma:contentTypeScope="" ma:versionID="9e8989f0df92a872e09e7c70a886f652">
  <xsd:schema xmlns:xsd="http://www.w3.org/2001/XMLSchema" xmlns:xs="http://www.w3.org/2001/XMLSchema" xmlns:p="http://schemas.microsoft.com/office/2006/metadata/properties" xmlns:ns2="98ef1a15-42de-4a55-8920-9b8c41e70525" xmlns:ns3="e5b57324-556d-450f-8dd1-faf8152f461d" targetNamespace="http://schemas.microsoft.com/office/2006/metadata/properties" ma:root="true" ma:fieldsID="b1c6b9f6114b0f3d70986d9f199df839" ns2:_="" ns3:_="">
    <xsd:import namespace="98ef1a15-42de-4a55-8920-9b8c41e70525"/>
    <xsd:import namespace="e5b57324-556d-450f-8dd1-faf8152f46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ef1a15-42de-4a55-8920-9b8c41e705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6df4e1c-acba-4648-9f02-57305b34c38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b57324-556d-450f-8dd1-faf8152f461d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5697b142-eacd-4cd5-a207-1d87a784fdee}" ma:internalName="TaxCatchAll" ma:showField="CatchAllData" ma:web="e5b57324-556d-450f-8dd1-faf8152f46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ef1a15-42de-4a55-8920-9b8c41e70525">
      <Terms xmlns="http://schemas.microsoft.com/office/infopath/2007/PartnerControls"/>
    </lcf76f155ced4ddcb4097134ff3c332f>
    <TaxCatchAll xmlns="e5b57324-556d-450f-8dd1-faf8152f461d" xsi:nil="true"/>
  </documentManagement>
</p:properties>
</file>

<file path=customXml/itemProps1.xml><?xml version="1.0" encoding="utf-8"?>
<ds:datastoreItem xmlns:ds="http://schemas.openxmlformats.org/officeDocument/2006/customXml" ds:itemID="{C20B8ED8-459D-469F-A840-C44B5B5B7B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A5EA2CB-6E9A-4066-BE2C-A209C1F45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ef1a15-42de-4a55-8920-9b8c41e70525"/>
    <ds:schemaRef ds:uri="e5b57324-556d-450f-8dd1-faf8152f46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78964FE-3763-4CCD-B857-090223BE9F59}">
  <ds:schemaRefs>
    <ds:schemaRef ds:uri="http://purl.org/dc/elements/1.1/"/>
    <ds:schemaRef ds:uri="http://www.w3.org/XML/1998/namespace"/>
    <ds:schemaRef ds:uri="http://schemas.microsoft.com/office/2006/documentManagement/types"/>
    <ds:schemaRef ds:uri="98ef1a15-42de-4a55-8920-9b8c41e70525"/>
    <ds:schemaRef ds:uri="e5b57324-556d-450f-8dd1-faf8152f461d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Excel 4.0 Macros</vt:lpstr>
      </vt:variant>
      <vt:variant>
        <vt:i4>2</vt:i4>
      </vt:variant>
      <vt:variant>
        <vt:lpstr>Named Ranges</vt:lpstr>
      </vt:variant>
      <vt:variant>
        <vt:i4>94</vt:i4>
      </vt:variant>
    </vt:vector>
  </HeadingPairs>
  <TitlesOfParts>
    <vt:vector size="104" baseType="lpstr">
      <vt:lpstr>Job Data</vt:lpstr>
      <vt:lpstr>Weijun</vt:lpstr>
      <vt:lpstr>Hill</vt:lpstr>
      <vt:lpstr>Sammie</vt:lpstr>
      <vt:lpstr>Wubiao</vt:lpstr>
      <vt:lpstr>Lionel</vt:lpstr>
      <vt:lpstr>Luca</vt:lpstr>
      <vt:lpstr>Basic Info</vt:lpstr>
      <vt:lpstr>宏1</vt:lpstr>
      <vt:lpstr>宏2</vt:lpstr>
      <vt:lpstr>_MWPA</vt:lpstr>
      <vt:lpstr>Agile_Mining</vt:lpstr>
      <vt:lpstr>Allup_Silica</vt:lpstr>
      <vt:lpstr>ALS</vt:lpstr>
      <vt:lpstr>Athenas_Reource</vt:lpstr>
      <vt:lpstr>Aurora_Construction_Materials</vt:lpstr>
      <vt:lpstr>AVL</vt:lpstr>
      <vt:lpstr>Barto_Gold</vt:lpstr>
      <vt:lpstr>BCI</vt:lpstr>
      <vt:lpstr>Blackore</vt:lpstr>
      <vt:lpstr>Bravus_Mining_Resuroces</vt:lpstr>
      <vt:lpstr>BV</vt:lpstr>
      <vt:lpstr>Capricorn_Metals</vt:lpstr>
      <vt:lpstr>Chalice_Mining</vt:lpstr>
      <vt:lpstr>Cockatoo_Island_Mining</vt:lpstr>
      <vt:lpstr>ConsMin</vt:lpstr>
      <vt:lpstr>Contact_Company</vt:lpstr>
      <vt:lpstr>Covalent_Lithium</vt:lpstr>
      <vt:lpstr>Crimson_Metals</vt:lpstr>
      <vt:lpstr>Critica_Limited</vt:lpstr>
      <vt:lpstr>CXL</vt:lpstr>
      <vt:lpstr>Delta_Lithium</vt:lpstr>
      <vt:lpstr>Dome_Gold</vt:lpstr>
      <vt:lpstr>Empire_Metals</vt:lpstr>
      <vt:lpstr>FMG</vt:lpstr>
      <vt:lpstr>GL1_</vt:lpstr>
      <vt:lpstr>Glencore</vt:lpstr>
      <vt:lpstr>Globel_Lithium</vt:lpstr>
      <vt:lpstr>GM_3</vt:lpstr>
      <vt:lpstr>Grange</vt:lpstr>
      <vt:lpstr>Grange_Resources</vt:lpstr>
      <vt:lpstr>Green_Capital</vt:lpstr>
      <vt:lpstr>Group6Metals</vt:lpstr>
      <vt:lpstr>HanRoy</vt:lpstr>
      <vt:lpstr>HASTING</vt:lpstr>
      <vt:lpstr>Havilah_Resources</vt:lpstr>
      <vt:lpstr>Hawsons_Iron</vt:lpstr>
      <vt:lpstr>Huntore_Australia</vt:lpstr>
      <vt:lpstr>HY_Mineral</vt:lpstr>
      <vt:lpstr>Iondrive</vt:lpstr>
      <vt:lpstr>Karara_Mining</vt:lpstr>
      <vt:lpstr>Karawara_Minerals</vt:lpstr>
      <vt:lpstr>Khalzan_Buregtei</vt:lpstr>
      <vt:lpstr>KUREEM</vt:lpstr>
      <vt:lpstr>Ladestone</vt:lpstr>
      <vt:lpstr>Leo_Lithium</vt:lpstr>
      <vt:lpstr>Lincoln_Minerals</vt:lpstr>
      <vt:lpstr>Lindian_Resources</vt:lpstr>
      <vt:lpstr>Lion_Town</vt:lpstr>
      <vt:lpstr>LMA</vt:lpstr>
      <vt:lpstr>Loesche</vt:lpstr>
      <vt:lpstr>losche</vt:lpstr>
      <vt:lpstr>Magnetite_Mines</vt:lpstr>
      <vt:lpstr>Mayur</vt:lpstr>
      <vt:lpstr>Mindax</vt:lpstr>
      <vt:lpstr>MRL</vt:lpstr>
      <vt:lpstr>Mt_Oscar_Gold_Project</vt:lpstr>
      <vt:lpstr>Mt_Oscar_Iron_Ore_Project</vt:lpstr>
      <vt:lpstr>Nagrom</vt:lpstr>
      <vt:lpstr>Northern_Iron</vt:lpstr>
      <vt:lpstr>Northern_Mineral</vt:lpstr>
      <vt:lpstr>Norton</vt:lpstr>
      <vt:lpstr>Oscar_Resources</vt:lpstr>
      <vt:lpstr>PEABODY_ENERGY</vt:lpstr>
      <vt:lpstr>Peak_Iron</vt:lpstr>
      <vt:lpstr>Peak_Rare_Earth</vt:lpstr>
      <vt:lpstr>PeakRE</vt:lpstr>
      <vt:lpstr>PLS</vt:lpstr>
      <vt:lpstr>Pretreatment_Facility</vt:lpstr>
      <vt:lpstr>'Job Data'!Print_Area</vt:lpstr>
      <vt:lpstr>Pure_Resources</vt:lpstr>
      <vt:lpstr>Ridge</vt:lpstr>
      <vt:lpstr>Riotinto</vt:lpstr>
      <vt:lpstr>Rox_Resources</vt:lpstr>
      <vt:lpstr>Roy_Hill</vt:lpstr>
      <vt:lpstr>Savannah_Resources</vt:lpstr>
      <vt:lpstr>Sibanye_Stillwater</vt:lpstr>
      <vt:lpstr>Silica_Resources_Australia</vt:lpstr>
      <vt:lpstr>SIMEC</vt:lpstr>
      <vt:lpstr>Talison</vt:lpstr>
      <vt:lpstr>Tanbreez_Mining</vt:lpstr>
      <vt:lpstr>TBA</vt:lpstr>
      <vt:lpstr>Technology_Metals_TMT</vt:lpstr>
      <vt:lpstr>Terra_Metals</vt:lpstr>
      <vt:lpstr>Terra_mining</vt:lpstr>
      <vt:lpstr>The_Australian_Vanadium_AVL</vt:lpstr>
      <vt:lpstr>TMT</vt:lpstr>
      <vt:lpstr>Trenel</vt:lpstr>
      <vt:lpstr>Tungsten_Mining</vt:lpstr>
      <vt:lpstr>Venus_Metals</vt:lpstr>
      <vt:lpstr>Vytas</vt:lpstr>
      <vt:lpstr>Wyoming_Rare_USA</vt:lpstr>
      <vt:lpstr>YINGHUI_INTERNATIONAL</vt:lpstr>
      <vt:lpstr>Young_Steel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Wubiao Weng</dc:creator>
  <cp:keywords/>
  <dc:description/>
  <cp:lastModifiedBy>Wubiao Weng</cp:lastModifiedBy>
  <cp:revision/>
  <cp:lastPrinted>2025-08-05T02:23:33Z</cp:lastPrinted>
  <dcterms:created xsi:type="dcterms:W3CDTF">2023-11-11T13:24:52Z</dcterms:created>
  <dcterms:modified xsi:type="dcterms:W3CDTF">2025-10-06T06:42:07Z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0x0101008BC90B808E71D14781F9689AE34A99A0</vt:lpwstr>
  </property>
  <property fmtid="{D5CDD505-2E9C-101B-9397-08002B2CF9AE}" pid="3" name="MediaServiceImageTags">
    <vt:lpwstr/>
  </property>
</Properties>
</file>